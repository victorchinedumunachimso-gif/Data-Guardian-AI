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firstSheet="1" activeTab="3"/>
  </bookViews>
  <sheets>
    <sheet name="Project_Assignment_Brief" sheetId="1" r:id="rId1"/>
    <sheet name="Pivotted Data" sheetId="3" r:id="rId2"/>
    <sheet name="Procurement_Data" sheetId="2" r:id="rId3"/>
    <sheet name="Interactive Dashboard" sheetId="4" r:id="rId4"/>
  </sheets>
  <definedNames>
    <definedName name="Slicer_Hub_Region">#N/A</definedName>
    <definedName name="Slicer_Consultant">#N/A</definedName>
    <definedName name="Slicer_Hub_Region1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<sst xmlns="http://schemas.openxmlformats.org/spreadsheetml/2006/main" count="343" uniqueCount="84">
  <si>
    <t>OTS Innovations | Technical Evaluation Track</t>
  </si>
  <si>
    <t>Capston Project: Comprehensive Enterprise Analytics Dashboard</t>
  </si>
  <si>
    <t>Course Facilitator: Tom-George</t>
  </si>
  <si>
    <t>📋 Project Scope &amp; Scenario:</t>
  </si>
  <si>
    <t>Following our foundational training, you are now tasked with building a full-scale executive reporting console. The managing director requires an integrated 6-chart dashboard canvas built on top of the 'Procurement_Data' tab. Your dashboard must cleanly lay out 6 distinct charts, hide gray field buttons, use professional formatting, and utilize connected slicers to filter the entire presentation canvas dynamically.</t>
  </si>
  <si>
    <t>Target Element</t>
  </si>
  <si>
    <t>Core Dashboard Insights to Include</t>
  </si>
  <si>
    <t>Pivot Area Drop Zones Hint</t>
  </si>
  <si>
    <t>Grading Evaluation Metric</t>
  </si>
  <si>
    <t>Chart 1: Segment Mix Matrix</t>
  </si>
  <si>
    <t>Compare net profit margins across your distribution hubs split by category. Surface regional product preference.</t>
  </si>
  <si>
    <t>Rows: Hub_Region
Columns: Device_Category
Values: Sum of Net_Profit</t>
  </si>
  <si>
    <t>Stacked Column Chart. Bars segment properly with matching color keys.</t>
  </si>
  <si>
    <t>Chart 2: Operational Volume Trend</t>
  </si>
  <si>
    <t>Track overall fulfillment density by mapping total units processed month-over-month. Must use month helper column.</t>
  </si>
  <si>
    <t>Rows: Order_Month
Values: Sum of Hardware_Units</t>
  </si>
  <si>
    <t>Line Chart or Clustered Column Chart tracking chronological monthly volume.</t>
  </si>
  <si>
    <t>Chart 3: Profit Velocity Trend</t>
  </si>
  <si>
    <t>Map the parallel pace of gross revenue and net profit across months to ensure sales translation to net margins.</t>
  </si>
  <si>
    <t>Rows: Order_Month
Values: Sum of Total_Revenue AND Sum of Net_Profit</t>
  </si>
  <si>
    <t>Multi-series Line Chart matching timeline trends exactly.</t>
  </si>
  <si>
    <t>Chart 4: Client Tier Revenue Share</t>
  </si>
  <si>
    <t>Determine the percentage share of revenue contributed by each Corporate Client Tier (Corporate vs. Staff vs. Student).</t>
  </si>
  <si>
    <t>Rows: Corporate_Client_Tier
Values: Sum of Total_Revenue</t>
  </si>
  <si>
    <t>Pie Chart or Donut Chart showing clear percentage data callout labels.</t>
  </si>
  <si>
    <t>Chart 5: Top Consultant Standings</t>
  </si>
  <si>
    <t>Rank individual consultants cleanly from highest profit driver to lowest to identify top-tier sales performers.</t>
  </si>
  <si>
    <t>Rows: Consultant
Values: Sum of Net_Profit
(Apply Top 10 filter &amp; Sort Z-A)</t>
  </si>
  <si>
    <t>Horizontal Bar Chart sorted cleanly from top performer downwards.</t>
  </si>
  <si>
    <t>Chart 6: Cost vs. Profit Margins</t>
  </si>
  <si>
    <t>Analyze financial efficiency across product lines by displaying manufacturing cost alongside bottom-line profit.</t>
  </si>
  <si>
    <t>Rows: Device_Category
Values: Sum of Manufacturing_Cost AND Sum of Net_Profit</t>
  </si>
  <si>
    <t>Clustered Column Chart comparing costs directly with profits per category.</t>
  </si>
  <si>
    <t>Interactive Control Grid</t>
  </si>
  <si>
    <t>Integrate floating controls allowing the director to filter the complete 6-chart canvas instantly.</t>
  </si>
  <si>
    <t>Insert Slicers for 'Consultant' and 'Hub_Region'. Use Report Connections on all 6 tables.</t>
  </si>
  <si>
    <t>All 6 visualization charts respond smoothly to a single button click event.</t>
  </si>
  <si>
    <t>🚀 Lab Submission Guidelines: Populate your 'Order_Month' helper column first using the =TEXT() method learned in class. Design a beautiful dashboard canvas by ensuring your grid blocks align neatly!</t>
  </si>
  <si>
    <t>Sum of Net_Profit</t>
  </si>
  <si>
    <t>Device_Category</t>
  </si>
  <si>
    <t>Hub_Region</t>
  </si>
  <si>
    <t>Flat Panel Monitors</t>
  </si>
  <si>
    <t>Laptops &amp; Systems</t>
  </si>
  <si>
    <t>Networking Switches</t>
  </si>
  <si>
    <t>Power UPS Backups</t>
  </si>
  <si>
    <t>Server Hard Drives</t>
  </si>
  <si>
    <t>Grand Total</t>
  </si>
  <si>
    <t>Abuja Hub</t>
  </si>
  <si>
    <t>Lagos Hub</t>
  </si>
  <si>
    <t>Port Harcourt Hub</t>
  </si>
  <si>
    <t>Order_Month</t>
  </si>
  <si>
    <t>Sum of Hardware_Units</t>
  </si>
  <si>
    <t>March</t>
  </si>
  <si>
    <t>April</t>
  </si>
  <si>
    <t>May</t>
  </si>
  <si>
    <t>Sum of Total_Revenue</t>
  </si>
  <si>
    <t>Corporate_Client_Tier</t>
  </si>
  <si>
    <t>Corporate</t>
  </si>
  <si>
    <t>Staff</t>
  </si>
  <si>
    <t>Student</t>
  </si>
  <si>
    <t>Consultant</t>
  </si>
  <si>
    <t>Comfort Fajugbagbe</t>
  </si>
  <si>
    <t>Elizabeth Kalu</t>
  </si>
  <si>
    <t>Epiphane Kwesi</t>
  </si>
  <si>
    <t>Humphrey Ojotogba</t>
  </si>
  <si>
    <t>Theophilus Enahoro</t>
  </si>
  <si>
    <t>Johnson Ntoh</t>
  </si>
  <si>
    <t>Christabel Tamuno</t>
  </si>
  <si>
    <t>Ekechukwu Hyginus</t>
  </si>
  <si>
    <t>Victor Nzekwu</t>
  </si>
  <si>
    <t>Leonard Nwabueze</t>
  </si>
  <si>
    <t>Sum of Manufacturing_Cost</t>
  </si>
  <si>
    <t>Hardware_Units</t>
  </si>
  <si>
    <t>Total_Revenue</t>
  </si>
  <si>
    <t>Manufacturing_Cost</t>
  </si>
  <si>
    <t>Net_Profit</t>
  </si>
  <si>
    <t>Order_Date</t>
  </si>
  <si>
    <t>Amaku Uchenna</t>
  </si>
  <si>
    <t>Anthony Madugba</t>
  </si>
  <si>
    <t>Anthony Umole</t>
  </si>
  <si>
    <t>Benjamin Ajah</t>
  </si>
  <si>
    <t>Chinedu Okeke</t>
  </si>
  <si>
    <t>Adelodun Stephen</t>
  </si>
  <si>
    <t>💻  Electronic Sales Performance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</si>
</sst>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&quot;₦&quot;#,##0"/>
    <numFmt numFmtId="177" formatCode="[$₦-470]#,##0_);[Red]\([$₦-470]#,##0\)"/>
  </numFmts>
  <fonts count="31">
    <font>
      <sz val="11"/>
      <color theme="1"/>
      <name val="Calibri"/>
      <charset val="134"/>
      <scheme val="minor"/>
    </font>
    <font>
      <b/>
      <sz val="28"/>
      <color theme="9" tint="0.6"/>
      <name val="Arial Black"/>
      <charset val="134"/>
    </font>
    <font>
      <b/>
      <sz val="11"/>
      <color rgb="FFFFFFFF"/>
      <name val="Segoe UI"/>
      <charset val="134"/>
    </font>
    <font>
      <sz val="10"/>
      <name val="Segoe UI"/>
      <charset val="134"/>
    </font>
    <font>
      <b/>
      <sz val="11"/>
      <color rgb="FF3182CE"/>
      <name val="Segoe UI"/>
      <charset val="134"/>
    </font>
    <font>
      <b/>
      <sz val="16"/>
      <color rgb="FF1B365D"/>
      <name val="Segoe UI"/>
      <charset val="134"/>
    </font>
    <font>
      <i/>
      <sz val="11"/>
      <color rgb="FF4A5568"/>
      <name val="Segoe UI"/>
      <charset val="134"/>
    </font>
    <font>
      <b/>
      <sz val="12"/>
      <color rgb="FF2C5282"/>
      <name val="Segoe UI"/>
      <charset val="134"/>
    </font>
    <font>
      <sz val="10"/>
      <color rgb="FF2D3748"/>
      <name val="Segoe UI"/>
      <charset val="134"/>
    </font>
    <font>
      <b/>
      <sz val="10"/>
      <color rgb="FF2C5282"/>
      <name val="Segoe UI"/>
      <charset val="134"/>
    </font>
    <font>
      <i/>
      <sz val="10"/>
      <color rgb="FF718096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1B365D"/>
        <bgColor rgb="FF1B365D"/>
      </patternFill>
    </fill>
    <fill>
      <patternFill patternType="solid">
        <fgColor rgb="FFF7FAFC"/>
        <bgColor rgb="FFF7FAF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 style="thin">
        <color rgb="FFE2E8F0"/>
      </right>
      <top/>
      <bottom style="medium">
        <color rgb="FF1B365D"/>
      </bottom>
      <diagonal/>
    </border>
    <border>
      <left style="thin">
        <color rgb="FFE2E8F0"/>
      </left>
      <right style="thin">
        <color rgb="FFE2E8F0"/>
      </right>
      <top/>
      <bottom style="medium">
        <color rgb="FF1B365D"/>
      </bottom>
      <diagonal/>
    </border>
    <border>
      <left style="thin">
        <color rgb="FFE2E8F0"/>
      </left>
      <right/>
      <top/>
      <bottom style="medium">
        <color rgb="FF1B365D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1B365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1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4" applyNumberFormat="0" applyAlignment="0" applyProtection="0">
      <alignment vertical="center"/>
    </xf>
    <xf numFmtId="0" fontId="21" fillId="7" borderId="15" applyNumberFormat="0" applyAlignment="0" applyProtection="0">
      <alignment vertical="center"/>
    </xf>
    <xf numFmtId="0" fontId="22" fillId="7" borderId="14" applyNumberFormat="0" applyAlignment="0" applyProtection="0">
      <alignment vertical="center"/>
    </xf>
    <xf numFmtId="0" fontId="23" fillId="8" borderId="16" applyNumberFormat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46">
    <xf numFmtId="0" fontId="0" fillId="0" borderId="0" xfId="0"/>
    <xf numFmtId="0" fontId="0" fillId="2" borderId="0" xfId="0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center" vertical="center"/>
    </xf>
    <xf numFmtId="3" fontId="3" fillId="4" borderId="5" xfId="0" applyNumberFormat="1" applyFont="1" applyFill="1" applyBorder="1" applyAlignment="1">
      <alignment horizontal="right" vertical="center"/>
    </xf>
    <xf numFmtId="176" fontId="3" fillId="4" borderId="5" xfId="0" applyNumberFormat="1" applyFont="1" applyFill="1" applyBorder="1" applyAlignment="1">
      <alignment horizontal="right" vertical="center"/>
    </xf>
    <xf numFmtId="177" fontId="3" fillId="4" borderId="5" xfId="0" applyNumberFormat="1" applyFont="1" applyFill="1" applyBorder="1" applyAlignment="1">
      <alignment horizontal="right" vertical="center"/>
    </xf>
    <xf numFmtId="58" fontId="3" fillId="4" borderId="6" xfId="0" applyNumberFormat="1" applyFont="1" applyFill="1" applyBorder="1" applyAlignment="1">
      <alignment horizontal="center" vertical="center"/>
    </xf>
    <xf numFmtId="58" fontId="3" fillId="4" borderId="0" xfId="0" applyNumberFormat="1" applyFont="1" applyFill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right" vertical="center"/>
    </xf>
    <xf numFmtId="176" fontId="3" fillId="0" borderId="5" xfId="0" applyNumberFormat="1" applyFont="1" applyBorder="1" applyAlignment="1">
      <alignment horizontal="right" vertical="center"/>
    </xf>
    <xf numFmtId="177" fontId="3" fillId="0" borderId="5" xfId="0" applyNumberFormat="1" applyFont="1" applyBorder="1" applyAlignment="1">
      <alignment horizontal="right" vertical="center"/>
    </xf>
    <xf numFmtId="58" fontId="3" fillId="0" borderId="6" xfId="0" applyNumberFormat="1" applyFont="1" applyBorder="1" applyAlignment="1">
      <alignment horizontal="center" vertical="center"/>
    </xf>
    <xf numFmtId="58" fontId="3" fillId="0" borderId="0" xfId="0" applyNumberFormat="1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right" vertical="center"/>
    </xf>
    <xf numFmtId="176" fontId="3" fillId="0" borderId="8" xfId="0" applyNumberFormat="1" applyFont="1" applyBorder="1" applyAlignment="1">
      <alignment horizontal="right" vertical="center"/>
    </xf>
    <xf numFmtId="177" fontId="3" fillId="0" borderId="8" xfId="0" applyNumberFormat="1" applyFont="1" applyBorder="1" applyAlignment="1">
      <alignment horizontal="right" vertical="center"/>
    </xf>
    <xf numFmtId="58" fontId="3" fillId="0" borderId="9" xfId="0" applyNumberFormat="1" applyFont="1" applyBorder="1" applyAlignment="1">
      <alignment horizontal="center" vertical="center"/>
    </xf>
    <xf numFmtId="177" fontId="0" fillId="0" borderId="0" xfId="0" applyNumberFormat="1"/>
    <xf numFmtId="10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 vertical="top" wrapText="1"/>
    </xf>
    <xf numFmtId="0" fontId="2" fillId="3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 vertical="top" wrapText="1"/>
    </xf>
    <xf numFmtId="0" fontId="9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1">
    <dxf>
      <numFmt numFmtId="178" formatCode="#,##0.0"/>
    </dxf>
    <dxf>
      <numFmt numFmtId="179" formatCode="#,##0.0"/>
    </dxf>
    <dxf>
      <numFmt numFmtId="180" formatCode="#,##0.0"/>
    </dxf>
    <dxf>
      <numFmt numFmtId="3" formatCode="#,##0"/>
    </dxf>
    <dxf>
      <numFmt numFmtId="3" formatCode="#,##0"/>
    </dxf>
    <dxf>
      <numFmt numFmtId="3" formatCode="#,##0"/>
    </dxf>
    <dxf>
      <numFmt numFmtId="181" formatCode="&quot;£&quot;#,##0.00_);[Red]\(&quot;£&quot;#,##0.00\)"/>
    </dxf>
    <dxf>
      <numFmt numFmtId="182" formatCode="&quot;£&quot;#,##0.00_);[Red]\(&quot;£&quot;#,##0.00\)"/>
    </dxf>
    <dxf>
      <numFmt numFmtId="183" formatCode="&quot;£&quot;#,##0.00_);[Red]\(&quot;£&quot;#,##0.00\)"/>
    </dxf>
    <dxf>
      <numFmt numFmtId="184" formatCode="&quot;£&quot;#,##0.00_);[Red]\(&quot;£&quot;#,##0.00\)"/>
    </dxf>
    <dxf>
      <numFmt numFmtId="185" formatCode="&quot;£&quot;#,##0.00_);[Red]\(&quot;£&quot;#,##0.00\)"/>
    </dxf>
    <dxf>
      <numFmt numFmtId="186" formatCode="&quot;£&quot;#,##0.00_);[Red]\(&quot;£&quot;#,##0.00\)"/>
    </dxf>
    <dxf>
      <numFmt numFmtId="187" formatCode="[$₦-470]#,##0.00_);[Red]\([$₦-470]#,##0.00\)"/>
    </dxf>
    <dxf>
      <numFmt numFmtId="188" formatCode="[$₦-470]#,##0.00_);[Red]\([$₦-470]#,##0.00\)"/>
    </dxf>
    <dxf>
      <numFmt numFmtId="189" formatCode="[$₦-470]#,##0.00_);[Red]\([$₦-470]#,##0.00\)"/>
    </dxf>
    <dxf>
      <numFmt numFmtId="190" formatCode="[$₦-470]#,##0.0_);[Red]\([$₦-470]#,##0.0\)"/>
    </dxf>
    <dxf>
      <numFmt numFmtId="191" formatCode="[$₦-470]#,##0.0_);[Red]\([$₦-470]#,##0.0\)"/>
    </dxf>
    <dxf>
      <numFmt numFmtId="192" formatCode="[$₦-470]#,##0.0_);[Red]\([$₦-470]#,##0.0\)"/>
    </dxf>
    <dxf>
      <numFmt numFmtId="177" formatCode="[$₦-470]#,##0_);[Red]\([$₦-470]#,##0\)"/>
    </dxf>
    <dxf>
      <numFmt numFmtId="177" formatCode="[$₦-470]#,##0_);[Red]\([$₦-470]#,##0\)"/>
    </dxf>
    <dxf>
      <numFmt numFmtId="177" formatCode="[$₦-470]#,##0_);[Red]\([$₦-470]#,##0\)"/>
    </dxf>
    <dxf>
      <font>
        <name val="Segoe UI"/>
        <scheme val="none"/>
        <b val="0"/>
        <i val="0"/>
        <strike val="0"/>
        <u val="none"/>
        <sz val="10"/>
        <color auto="1"/>
      </font>
      <alignment horizontal="center" vertical="center"/>
      <border>
        <left/>
        <right style="thin">
          <color rgb="FFE2E8F0"/>
        </right>
        <top style="thin">
          <color rgb="FFE2E8F0"/>
        </top>
        <bottom style="thin">
          <color rgb="FFE2E8F0"/>
        </bottom>
      </border>
    </dxf>
    <dxf>
      <font>
        <name val="Segoe UI"/>
        <scheme val="none"/>
        <b val="0"/>
        <i val="0"/>
        <strike val="0"/>
        <u val="none"/>
        <sz val="10"/>
        <color auto="1"/>
      </font>
      <alignment horizontal="left" vertical="center"/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</border>
    </dxf>
    <dxf>
      <font>
        <name val="Segoe UI"/>
        <scheme val="none"/>
        <b val="0"/>
        <i val="0"/>
        <strike val="0"/>
        <u val="none"/>
        <sz val="10"/>
        <color auto="1"/>
      </font>
      <alignment horizontal="center" vertical="center"/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</border>
    </dxf>
    <dxf>
      <font>
        <name val="Segoe UI"/>
        <scheme val="none"/>
        <b val="0"/>
        <i val="0"/>
        <strike val="0"/>
        <u val="none"/>
        <sz val="10"/>
        <color auto="1"/>
      </font>
      <alignment horizontal="left" vertical="center"/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</border>
    </dxf>
    <dxf>
      <font>
        <name val="Segoe UI"/>
        <scheme val="none"/>
        <b val="0"/>
        <i val="0"/>
        <strike val="0"/>
        <u val="none"/>
        <sz val="10"/>
        <color auto="1"/>
      </font>
      <numFmt numFmtId="3" formatCode="#,##0"/>
      <alignment horizontal="right" vertical="center"/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</border>
    </dxf>
    <dxf>
      <font>
        <name val="Segoe UI"/>
        <scheme val="none"/>
        <b val="0"/>
        <i val="0"/>
        <strike val="0"/>
        <u val="none"/>
        <sz val="10"/>
        <color auto="1"/>
      </font>
      <numFmt numFmtId="176" formatCode="&quot;₦&quot;#,##0"/>
      <alignment horizontal="right" vertical="center"/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</border>
    </dxf>
    <dxf>
      <font>
        <name val="Segoe UI"/>
        <scheme val="none"/>
        <b val="0"/>
        <i val="0"/>
        <strike val="0"/>
        <u val="none"/>
        <sz val="10"/>
        <color auto="1"/>
      </font>
      <numFmt numFmtId="177" formatCode="[$₦-470]#,##0_);[Red]\([$₦-470]#,##0\)"/>
      <alignment horizontal="right" vertical="center"/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</border>
    </dxf>
    <dxf>
      <font>
        <name val="Segoe UI"/>
        <scheme val="none"/>
        <b val="0"/>
        <i val="0"/>
        <strike val="0"/>
        <u val="none"/>
        <sz val="10"/>
        <color auto="1"/>
      </font>
      <numFmt numFmtId="177" formatCode="[$₦-470]#,##0_);[Red]\([$₦-470]#,##0\)"/>
      <alignment horizontal="right" vertical="center"/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</border>
    </dxf>
    <dxf>
      <font>
        <name val="Segoe UI"/>
        <scheme val="none"/>
        <b val="0"/>
        <i val="0"/>
        <strike val="0"/>
        <u val="none"/>
        <sz val="10"/>
        <color auto="1"/>
      </font>
      <alignment horizontal="center" vertical="center"/>
      <border>
        <left style="thin">
          <color rgb="FFE2E8F0"/>
        </left>
        <right/>
        <top style="thin">
          <color rgb="FFE2E8F0"/>
        </top>
        <bottom style="thin">
          <color rgb="FFE2E8F0"/>
        </bottom>
      </border>
    </dxf>
    <dxf>
      <numFmt numFmtId="58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[OTS Project Dataset.xlsx]Pivotted Data!PivotTable9</c:name>
    <c:fmtId val="0"/>
  </c:pivotSource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'Pivotted Data'!$B$1:$B$2</c:f>
              <c:strCache>
                <c:ptCount val="1"/>
                <c:pt idx="0">
                  <c:v>Flat Panel Monitors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'Pivotted Data'!$A$3:$A$6</c:f>
              <c:strCache>
                <c:ptCount val="3"/>
                <c:pt idx="0">
                  <c:v>Abuja Hub</c:v>
                </c:pt>
                <c:pt idx="1">
                  <c:v>Lagos Hub</c:v>
                </c:pt>
                <c:pt idx="2">
                  <c:v>Port Harcourt Hub</c:v>
                </c:pt>
              </c:strCache>
            </c:strRef>
          </c:cat>
          <c:val>
            <c:numRef>
              <c:f>'Pivotted Data'!$B$3:$B$6</c:f>
              <c:numCache>
                <c:formatCode>General</c:formatCode>
                <c:ptCount val="3"/>
                <c:pt idx="0">
                  <c:v>1395000</c:v>
                </c:pt>
                <c:pt idx="1">
                  <c:v>1125000</c:v>
                </c:pt>
                <c:pt idx="2">
                  <c:v>1935000</c:v>
                </c:pt>
              </c:numCache>
            </c:numRef>
          </c:val>
        </c:ser>
        <c:ser>
          <c:idx val="1"/>
          <c:order val="1"/>
          <c:tx>
            <c:strRef>
              <c:f>'Pivotted Data'!$C$1:$C$2</c:f>
              <c:strCache>
                <c:ptCount val="1"/>
                <c:pt idx="0">
                  <c:v>Laptops &amp; Systems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'Pivotted Data'!$A$3:$A$6</c:f>
              <c:strCache>
                <c:ptCount val="3"/>
                <c:pt idx="0">
                  <c:v>Abuja Hub</c:v>
                </c:pt>
                <c:pt idx="1">
                  <c:v>Lagos Hub</c:v>
                </c:pt>
                <c:pt idx="2">
                  <c:v>Port Harcourt Hub</c:v>
                </c:pt>
              </c:strCache>
            </c:strRef>
          </c:cat>
          <c:val>
            <c:numRef>
              <c:f>'Pivotted Data'!$C$3:$C$6</c:f>
              <c:numCache>
                <c:formatCode>General</c:formatCode>
                <c:ptCount val="3"/>
                <c:pt idx="0">
                  <c:v>3402000</c:v>
                </c:pt>
                <c:pt idx="1">
                  <c:v>2430000</c:v>
                </c:pt>
                <c:pt idx="2">
                  <c:v>2916000</c:v>
                </c:pt>
              </c:numCache>
            </c:numRef>
          </c:val>
        </c:ser>
        <c:ser>
          <c:idx val="2"/>
          <c:order val="2"/>
          <c:tx>
            <c:strRef>
              <c:f>'Pivotted Data'!$D$1:$D$2</c:f>
              <c:strCache>
                <c:ptCount val="1"/>
                <c:pt idx="0">
                  <c:v>Networking Switches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'Pivotted Data'!$A$3:$A$6</c:f>
              <c:strCache>
                <c:ptCount val="3"/>
                <c:pt idx="0">
                  <c:v>Abuja Hub</c:v>
                </c:pt>
                <c:pt idx="1">
                  <c:v>Lagos Hub</c:v>
                </c:pt>
                <c:pt idx="2">
                  <c:v>Port Harcourt Hub</c:v>
                </c:pt>
              </c:strCache>
            </c:strRef>
          </c:cat>
          <c:val>
            <c:numRef>
              <c:f>'Pivotted Data'!$D$3:$D$6</c:f>
              <c:numCache>
                <c:formatCode>General</c:formatCode>
                <c:ptCount val="3"/>
                <c:pt idx="0">
                  <c:v>2820000</c:v>
                </c:pt>
                <c:pt idx="1">
                  <c:v>1740000</c:v>
                </c:pt>
                <c:pt idx="2">
                  <c:v>1500000</c:v>
                </c:pt>
              </c:numCache>
            </c:numRef>
          </c:val>
        </c:ser>
        <c:ser>
          <c:idx val="3"/>
          <c:order val="3"/>
          <c:tx>
            <c:strRef>
              <c:f>'Pivotted Data'!$E$1:$E$2</c:f>
              <c:strCache>
                <c:ptCount val="1"/>
                <c:pt idx="0">
                  <c:v>Power UPS Backups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'Pivotted Data'!$A$3:$A$6</c:f>
              <c:strCache>
                <c:ptCount val="3"/>
                <c:pt idx="0">
                  <c:v>Abuja Hub</c:v>
                </c:pt>
                <c:pt idx="1">
                  <c:v>Lagos Hub</c:v>
                </c:pt>
                <c:pt idx="2">
                  <c:v>Port Harcourt Hub</c:v>
                </c:pt>
              </c:strCache>
            </c:strRef>
          </c:cat>
          <c:val>
            <c:numRef>
              <c:f>'Pivotted Data'!$E$3:$E$6</c:f>
              <c:numCache>
                <c:formatCode>General</c:formatCode>
                <c:ptCount val="3"/>
                <c:pt idx="0">
                  <c:v>1722500</c:v>
                </c:pt>
                <c:pt idx="1">
                  <c:v>1397500</c:v>
                </c:pt>
                <c:pt idx="2">
                  <c:v>552500</c:v>
                </c:pt>
              </c:numCache>
            </c:numRef>
          </c:val>
        </c:ser>
        <c:ser>
          <c:idx val="4"/>
          <c:order val="4"/>
          <c:tx>
            <c:strRef>
              <c:f>'Pivotted Data'!$F$1:$F$2</c:f>
              <c:strCache>
                <c:ptCount val="1"/>
                <c:pt idx="0">
                  <c:v>Server Hard Drives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'Pivotted Data'!$A$3:$A$6</c:f>
              <c:strCache>
                <c:ptCount val="3"/>
                <c:pt idx="0">
                  <c:v>Abuja Hub</c:v>
                </c:pt>
                <c:pt idx="1">
                  <c:v>Lagos Hub</c:v>
                </c:pt>
                <c:pt idx="2">
                  <c:v>Port Harcourt Hub</c:v>
                </c:pt>
              </c:strCache>
            </c:strRef>
          </c:cat>
          <c:val>
            <c:numRef>
              <c:f>'Pivotted Data'!$F$3:$F$6</c:f>
              <c:numCache>
                <c:formatCode>General</c:formatCode>
                <c:ptCount val="3"/>
                <c:pt idx="0">
                  <c:v>470250</c:v>
                </c:pt>
                <c:pt idx="1">
                  <c:v>1619750</c:v>
                </c:pt>
                <c:pt idx="2">
                  <c:v>1567500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554145372"/>
        <c:axId val="407577426"/>
      </c:barChart>
      <c:catAx>
        <c:axId val="5541453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7577426"/>
        <c:crosses val="autoZero"/>
        <c:auto val="1"/>
        <c:lblAlgn val="ctr"/>
        <c:lblOffset val="100"/>
        <c:noMultiLvlLbl val="0"/>
      </c:catAx>
      <c:valAx>
        <c:axId val="4075774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41453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[OTS Project Dataset.xlsx]Pivotted Data!PivotTable10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en-US"/>
              <a:t>Order by Month To Hardware Units</a:t>
            </a:r>
            <a:endParaRPr lang="en-GB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'Pivotted Data'!$B$9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'Pivotted Data'!$A$10:$A$13</c:f>
              <c:strCache>
                <c:ptCount val="3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</c:strCache>
            </c:strRef>
          </c:cat>
          <c:val>
            <c:numRef>
              <c:f>'Pivotted Data'!$B$10:$B$13</c:f>
              <c:numCache>
                <c:formatCode>General</c:formatCode>
                <c:ptCount val="3"/>
                <c:pt idx="0">
                  <c:v>134</c:v>
                </c:pt>
                <c:pt idx="1">
                  <c:v>192</c:v>
                </c:pt>
                <c:pt idx="2">
                  <c:v>165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40811578"/>
        <c:axId val="995786066"/>
      </c:lineChart>
      <c:catAx>
        <c:axId val="7408115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5786066"/>
        <c:crosses val="autoZero"/>
        <c:auto val="1"/>
        <c:lblAlgn val="ctr"/>
        <c:lblOffset val="100"/>
        <c:noMultiLvlLbl val="0"/>
      </c:catAx>
      <c:valAx>
        <c:axId val="99578606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08115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[OTS Project Dataset.xlsx]Pivotted Data!PivotTable11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en-US"/>
              <a:t>Order By Month To Total Revenue And Profit</a:t>
            </a:r>
            <a:endParaRPr lang="en-GB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'Pivotted Data'!$B$19</c:f>
              <c:strCache>
                <c:ptCount val="1"/>
                <c:pt idx="0">
                  <c:v>Sum of Total_Revenue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'Pivotted Data'!$A$20:$A$23</c:f>
              <c:strCache>
                <c:ptCount val="3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</c:strCache>
            </c:strRef>
          </c:cat>
          <c:val>
            <c:numRef>
              <c:f>'Pivotted Data'!$B$20:$B$23</c:f>
              <c:numCache>
                <c:formatCode>[$₦-470]#,##0_);[Red]\([$₦-470]#,##0\)</c:formatCode>
                <c:ptCount val="3"/>
                <c:pt idx="0">
                  <c:v>13925000</c:v>
                </c:pt>
                <c:pt idx="1">
                  <c:v>19025000</c:v>
                </c:pt>
                <c:pt idx="2">
                  <c:v>18335000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'Pivotted Data'!$C$19</c:f>
              <c:strCache>
                <c:ptCount val="1"/>
                <c:pt idx="0">
                  <c:v>Sum of Net_Profit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'Pivotted Data'!$A$20:$A$23</c:f>
              <c:strCache>
                <c:ptCount val="3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</c:strCache>
            </c:strRef>
          </c:cat>
          <c:val>
            <c:numRef>
              <c:f>'Pivotted Data'!$C$20:$C$23</c:f>
              <c:numCache>
                <c:formatCode>[$₦-470]#,##0_);[Red]\([$₦-470]#,##0\)</c:formatCode>
                <c:ptCount val="3"/>
                <c:pt idx="0">
                  <c:v>7242000</c:v>
                </c:pt>
                <c:pt idx="1">
                  <c:v>10006000</c:v>
                </c:pt>
                <c:pt idx="2">
                  <c:v>9345000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94042194"/>
        <c:axId val="927310673"/>
      </c:lineChart>
      <c:catAx>
        <c:axId val="89404219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7310673"/>
        <c:crosses val="autoZero"/>
        <c:auto val="1"/>
        <c:lblAlgn val="ctr"/>
        <c:lblOffset val="100"/>
        <c:noMultiLvlLbl val="0"/>
      </c:catAx>
      <c:valAx>
        <c:axId val="9273106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[$₦-470]#,##0_);[Red]\([$₦-470]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404219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[OTS Project Dataset.xlsx]Pivotted Data!PivotTable12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'Pivotted Data'!$B$26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'Pivotted Data'!$A$27:$A$30</c:f>
              <c:strCache>
                <c:ptCount val="3"/>
                <c:pt idx="0">
                  <c:v>Corporate</c:v>
                </c:pt>
                <c:pt idx="1">
                  <c:v>Staff</c:v>
                </c:pt>
                <c:pt idx="2">
                  <c:v>Student</c:v>
                </c:pt>
              </c:strCache>
            </c:strRef>
          </c:cat>
          <c:val>
            <c:numRef>
              <c:f>'Pivotted Data'!$B$27:$B$30</c:f>
              <c:numCache>
                <c:formatCode>0.00%</c:formatCode>
                <c:ptCount val="3"/>
                <c:pt idx="0">
                  <c:v>0.400799454031393</c:v>
                </c:pt>
                <c:pt idx="1">
                  <c:v>0.186116798284099</c:v>
                </c:pt>
                <c:pt idx="2">
                  <c:v>0.413083747684508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[OTS Project Dataset.xlsx]Pivotted Data!PivotTable13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'Pivotted Data'!$B$33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'Pivotted Data'!$A$34:$A$44</c:f>
              <c:strCache>
                <c:ptCount val="10"/>
                <c:pt idx="0">
                  <c:v>Comfort Fajugbagbe</c:v>
                </c:pt>
                <c:pt idx="1">
                  <c:v>Elizabeth Kalu</c:v>
                </c:pt>
                <c:pt idx="2">
                  <c:v>Epiphane Kwesi</c:v>
                </c:pt>
                <c:pt idx="3">
                  <c:v>Humphrey Ojotogba</c:v>
                </c:pt>
                <c:pt idx="4">
                  <c:v>Theophilus Enahoro</c:v>
                </c:pt>
                <c:pt idx="5">
                  <c:v>Johnson Ntoh</c:v>
                </c:pt>
                <c:pt idx="6">
                  <c:v>Christabel Tamuno</c:v>
                </c:pt>
                <c:pt idx="7">
                  <c:v>Ekechukwu Hyginus</c:v>
                </c:pt>
                <c:pt idx="8">
                  <c:v>Victor Nzekwu</c:v>
                </c:pt>
                <c:pt idx="9">
                  <c:v>Leonard Nwabueze</c:v>
                </c:pt>
              </c:strCache>
            </c:strRef>
          </c:cat>
          <c:val>
            <c:numRef>
              <c:f>'Pivotted Data'!$B$34:$B$44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0"/>
        <c:axId val="186875346"/>
        <c:axId val="144834949"/>
      </c:barChart>
      <c:catAx>
        <c:axId val="18687534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834949"/>
        <c:crosses val="autoZero"/>
        <c:auto val="1"/>
        <c:lblAlgn val="ctr"/>
        <c:lblOffset val="100"/>
        <c:noMultiLvlLbl val="0"/>
      </c:catAx>
      <c:valAx>
        <c:axId val="14483494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68753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[OTS Project Dataset.xlsx]Pivotted Data!PivotTable14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en-US"/>
              <a:t>Net Profit By Manufacturing Cost</a:t>
            </a:r>
            <a:endParaRPr lang="en-GB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'Pivotted Data'!$B$47</c:f>
              <c:strCache>
                <c:ptCount val="1"/>
                <c:pt idx="0">
                  <c:v>Sum of Net_Profit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'Pivotted Data'!$A$48:$A$53</c:f>
              <c:strCache>
                <c:ptCount val="5"/>
                <c:pt idx="0">
                  <c:v>Flat Panel Monitors</c:v>
                </c:pt>
                <c:pt idx="1">
                  <c:v>Laptops &amp; Systems</c:v>
                </c:pt>
                <c:pt idx="2">
                  <c:v>Networking Switches</c:v>
                </c:pt>
                <c:pt idx="3">
                  <c:v>Power UPS Backups</c:v>
                </c:pt>
                <c:pt idx="4">
                  <c:v>Server Hard Drives</c:v>
                </c:pt>
              </c:strCache>
            </c:strRef>
          </c:cat>
          <c:val>
            <c:numRef>
              <c:f>'Pivotted Data'!$B$48:$B$53</c:f>
              <c:numCache>
                <c:formatCode>General</c:formatCode>
                <c:ptCount val="5"/>
                <c:pt idx="0">
                  <c:v>4455000</c:v>
                </c:pt>
                <c:pt idx="1">
                  <c:v>8748000</c:v>
                </c:pt>
                <c:pt idx="2">
                  <c:v>6060000</c:v>
                </c:pt>
                <c:pt idx="3">
                  <c:v>3672500</c:v>
                </c:pt>
                <c:pt idx="4">
                  <c:v>3657500</c:v>
                </c:pt>
              </c:numCache>
            </c:numRef>
          </c:val>
        </c:ser>
        <c:ser>
          <c:idx val="1"/>
          <c:order val="1"/>
          <c:tx>
            <c:strRef>
              <c:f>'Pivotted Data'!$C$47</c:f>
              <c:strCache>
                <c:ptCount val="1"/>
                <c:pt idx="0">
                  <c:v>Sum of Manufacturing_Cost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'Pivotted Data'!$A$48:$A$53</c:f>
              <c:strCache>
                <c:ptCount val="5"/>
                <c:pt idx="0">
                  <c:v>Flat Panel Monitors</c:v>
                </c:pt>
                <c:pt idx="1">
                  <c:v>Laptops &amp; Systems</c:v>
                </c:pt>
                <c:pt idx="2">
                  <c:v>Networking Switches</c:v>
                </c:pt>
                <c:pt idx="3">
                  <c:v>Power UPS Backups</c:v>
                </c:pt>
                <c:pt idx="4">
                  <c:v>Server Hard Drives</c:v>
                </c:pt>
              </c:strCache>
            </c:strRef>
          </c:cat>
          <c:val>
            <c:numRef>
              <c:f>'Pivotted Data'!$C$48:$C$53</c:f>
              <c:numCache>
                <c:formatCode>General</c:formatCode>
                <c:ptCount val="5"/>
                <c:pt idx="0">
                  <c:v>2970000</c:v>
                </c:pt>
                <c:pt idx="1">
                  <c:v>10692000</c:v>
                </c:pt>
                <c:pt idx="2">
                  <c:v>6060000</c:v>
                </c:pt>
                <c:pt idx="3">
                  <c:v>1977500</c:v>
                </c:pt>
                <c:pt idx="4">
                  <c:v>2992500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61716579"/>
        <c:axId val="962366403"/>
      </c:barChart>
      <c:catAx>
        <c:axId val="7617165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2366403"/>
        <c:crosses val="autoZero"/>
        <c:auto val="1"/>
        <c:lblAlgn val="ctr"/>
        <c:lblOffset val="100"/>
        <c:noMultiLvlLbl val="0"/>
      </c:catAx>
      <c:valAx>
        <c:axId val="9623664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17165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[OTS Project Dataset.xlsx]Pivotted Data!PivotTable9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20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  <a:r>
              <a:rPr lang="en-GB" altLang="en-US" sz="2000"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rPr>
              <a:t>Hub Region By Net Profit</a:t>
            </a:r>
            <a:endParaRPr lang="en-GB" altLang="en-US" sz="2000">
              <a:latin typeface="Arial Black" panose="020B0A04020102020204" charset="0"/>
              <a:ea typeface="Arial Black" panose="020B0A04020102020204" charset="0"/>
              <a:cs typeface="Arial Black" panose="020B0A04020102020204" charset="0"/>
              <a:sym typeface="Arial Black" panose="020B0A0402010202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'Pivotted Data'!$B$1:$B$2</c:f>
              <c:strCache>
                <c:ptCount val="1"/>
                <c:pt idx="0">
                  <c:v>Flat Panel Monitors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'Pivotted Data'!$A$3:$A$6</c:f>
              <c:strCache>
                <c:ptCount val="3"/>
                <c:pt idx="0">
                  <c:v>Abuja Hub</c:v>
                </c:pt>
                <c:pt idx="1">
                  <c:v>Lagos Hub</c:v>
                </c:pt>
                <c:pt idx="2">
                  <c:v>Port Harcourt Hub</c:v>
                </c:pt>
              </c:strCache>
            </c:strRef>
          </c:cat>
          <c:val>
            <c:numRef>
              <c:f>'Pivotted Data'!$B$3:$B$6</c:f>
              <c:numCache>
                <c:formatCode>General</c:formatCode>
                <c:ptCount val="3"/>
                <c:pt idx="0">
                  <c:v>1395000</c:v>
                </c:pt>
                <c:pt idx="1">
                  <c:v>1125000</c:v>
                </c:pt>
                <c:pt idx="2">
                  <c:v>1935000</c:v>
                </c:pt>
              </c:numCache>
            </c:numRef>
          </c:val>
        </c:ser>
        <c:ser>
          <c:idx val="1"/>
          <c:order val="1"/>
          <c:tx>
            <c:strRef>
              <c:f>'Pivotted Data'!$C$1:$C$2</c:f>
              <c:strCache>
                <c:ptCount val="1"/>
                <c:pt idx="0">
                  <c:v>Laptops &amp; Systems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'Pivotted Data'!$A$3:$A$6</c:f>
              <c:strCache>
                <c:ptCount val="3"/>
                <c:pt idx="0">
                  <c:v>Abuja Hub</c:v>
                </c:pt>
                <c:pt idx="1">
                  <c:v>Lagos Hub</c:v>
                </c:pt>
                <c:pt idx="2">
                  <c:v>Port Harcourt Hub</c:v>
                </c:pt>
              </c:strCache>
            </c:strRef>
          </c:cat>
          <c:val>
            <c:numRef>
              <c:f>'Pivotted Data'!$C$3:$C$6</c:f>
              <c:numCache>
                <c:formatCode>General</c:formatCode>
                <c:ptCount val="3"/>
                <c:pt idx="0">
                  <c:v>3402000</c:v>
                </c:pt>
                <c:pt idx="1">
                  <c:v>2430000</c:v>
                </c:pt>
                <c:pt idx="2">
                  <c:v>2916000</c:v>
                </c:pt>
              </c:numCache>
            </c:numRef>
          </c:val>
        </c:ser>
        <c:ser>
          <c:idx val="2"/>
          <c:order val="2"/>
          <c:tx>
            <c:strRef>
              <c:f>'Pivotted Data'!$D$1:$D$2</c:f>
              <c:strCache>
                <c:ptCount val="1"/>
                <c:pt idx="0">
                  <c:v>Networking Switches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'Pivotted Data'!$A$3:$A$6</c:f>
              <c:strCache>
                <c:ptCount val="3"/>
                <c:pt idx="0">
                  <c:v>Abuja Hub</c:v>
                </c:pt>
                <c:pt idx="1">
                  <c:v>Lagos Hub</c:v>
                </c:pt>
                <c:pt idx="2">
                  <c:v>Port Harcourt Hub</c:v>
                </c:pt>
              </c:strCache>
            </c:strRef>
          </c:cat>
          <c:val>
            <c:numRef>
              <c:f>'Pivotted Data'!$D$3:$D$6</c:f>
              <c:numCache>
                <c:formatCode>General</c:formatCode>
                <c:ptCount val="3"/>
                <c:pt idx="0">
                  <c:v>2820000</c:v>
                </c:pt>
                <c:pt idx="1">
                  <c:v>1740000</c:v>
                </c:pt>
                <c:pt idx="2">
                  <c:v>1500000</c:v>
                </c:pt>
              </c:numCache>
            </c:numRef>
          </c:val>
        </c:ser>
        <c:ser>
          <c:idx val="3"/>
          <c:order val="3"/>
          <c:tx>
            <c:strRef>
              <c:f>'Pivotted Data'!$E$1:$E$2</c:f>
              <c:strCache>
                <c:ptCount val="1"/>
                <c:pt idx="0">
                  <c:v>Power UPS Backups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'Pivotted Data'!$A$3:$A$6</c:f>
              <c:strCache>
                <c:ptCount val="3"/>
                <c:pt idx="0">
                  <c:v>Abuja Hub</c:v>
                </c:pt>
                <c:pt idx="1">
                  <c:v>Lagos Hub</c:v>
                </c:pt>
                <c:pt idx="2">
                  <c:v>Port Harcourt Hub</c:v>
                </c:pt>
              </c:strCache>
            </c:strRef>
          </c:cat>
          <c:val>
            <c:numRef>
              <c:f>'Pivotted Data'!$E$3:$E$6</c:f>
              <c:numCache>
                <c:formatCode>General</c:formatCode>
                <c:ptCount val="3"/>
                <c:pt idx="0">
                  <c:v>1722500</c:v>
                </c:pt>
                <c:pt idx="1">
                  <c:v>1397500</c:v>
                </c:pt>
                <c:pt idx="2">
                  <c:v>552500</c:v>
                </c:pt>
              </c:numCache>
            </c:numRef>
          </c:val>
        </c:ser>
        <c:ser>
          <c:idx val="4"/>
          <c:order val="4"/>
          <c:tx>
            <c:strRef>
              <c:f>'Pivotted Data'!$F$1:$F$2</c:f>
              <c:strCache>
                <c:ptCount val="1"/>
                <c:pt idx="0">
                  <c:v>Server Hard Drives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'Pivotted Data'!$A$3:$A$6</c:f>
              <c:strCache>
                <c:ptCount val="3"/>
                <c:pt idx="0">
                  <c:v>Abuja Hub</c:v>
                </c:pt>
                <c:pt idx="1">
                  <c:v>Lagos Hub</c:v>
                </c:pt>
                <c:pt idx="2">
                  <c:v>Port Harcourt Hub</c:v>
                </c:pt>
              </c:strCache>
            </c:strRef>
          </c:cat>
          <c:val>
            <c:numRef>
              <c:f>'Pivotted Data'!$F$3:$F$6</c:f>
              <c:numCache>
                <c:formatCode>General</c:formatCode>
                <c:ptCount val="3"/>
                <c:pt idx="0">
                  <c:v>470250</c:v>
                </c:pt>
                <c:pt idx="1">
                  <c:v>1619750</c:v>
                </c:pt>
                <c:pt idx="2">
                  <c:v>1567500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554145372"/>
        <c:axId val="407577426"/>
      </c:barChart>
      <c:catAx>
        <c:axId val="5541453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</a:p>
        </c:txPr>
        <c:crossAx val="407577426"/>
        <c:crosses val="autoZero"/>
        <c:auto val="1"/>
        <c:lblAlgn val="ctr"/>
        <c:lblOffset val="100"/>
        <c:noMultiLvlLbl val="0"/>
      </c:catAx>
      <c:valAx>
        <c:axId val="4075774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</a:p>
        </c:txPr>
        <c:crossAx val="5541453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charset="0"/>
              <a:ea typeface="Arial Black" panose="020B0A04020102020204" charset="0"/>
              <a:cs typeface="Arial Black" panose="020B0A04020102020204" charset="0"/>
              <a:sym typeface="Arial Black" panose="020B0A040201020202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ead8ae3-17fb-45f0-88db-65f546b5532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latin typeface="Arial Black" panose="020B0A04020102020204" charset="0"/>
          <a:ea typeface="Arial Black" panose="020B0A04020102020204" charset="0"/>
          <a:cs typeface="Arial Black" panose="020B0A04020102020204" charset="0"/>
          <a:sym typeface="Arial Black" panose="020B0A04020102020204" charset="0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[OTS Project Dataset.xlsx]Pivotted Data!PivotTable10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  <a:r>
              <a:rPr lang="en-GB" altLang="en-US" sz="1600"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rPr>
              <a:t>Order By Month To</a:t>
            </a:r>
            <a:endParaRPr lang="en-GB" altLang="en-US" sz="1600">
              <a:latin typeface="Arial Black" panose="020B0A04020102020204" charset="0"/>
              <a:ea typeface="Arial Black" panose="020B0A04020102020204" charset="0"/>
              <a:cs typeface="Arial Black" panose="020B0A04020102020204" charset="0"/>
              <a:sym typeface="Arial Black" panose="020B0A04020102020204" charset="0"/>
            </a:endParaRPr>
          </a:p>
          <a:p>
            <a:pPr defTabSz="914400">
              <a:defRPr lang="en-US" sz="16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  <a:r>
              <a:rPr lang="en-GB" altLang="en-US" sz="1600"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rPr>
              <a:t>Hardware Units</a:t>
            </a:r>
            <a:endParaRPr lang="en-GB" altLang="en-US" sz="1600">
              <a:latin typeface="Arial Black" panose="020B0A04020102020204" charset="0"/>
              <a:ea typeface="Arial Black" panose="020B0A04020102020204" charset="0"/>
              <a:cs typeface="Arial Black" panose="020B0A04020102020204" charset="0"/>
              <a:sym typeface="Arial Black" panose="020B0A04020102020204" charset="0"/>
            </a:endParaRPr>
          </a:p>
        </c:rich>
      </c:tx>
      <c:layout>
        <c:manualLayout>
          <c:xMode val="edge"/>
          <c:yMode val="edge"/>
          <c:x val="0.345707422818581"/>
          <c:y val="0.074206054250774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'Pivotted Data'!$B$9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'Pivotted Data'!$A$10:$A$13</c:f>
              <c:strCache>
                <c:ptCount val="3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</c:strCache>
            </c:strRef>
          </c:cat>
          <c:val>
            <c:numRef>
              <c:f>'Pivotted Data'!$B$10:$B$13</c:f>
              <c:numCache>
                <c:formatCode>General</c:formatCode>
                <c:ptCount val="3"/>
                <c:pt idx="0">
                  <c:v>134</c:v>
                </c:pt>
                <c:pt idx="1">
                  <c:v>192</c:v>
                </c:pt>
                <c:pt idx="2">
                  <c:v>165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40811578"/>
        <c:axId val="995786066"/>
      </c:lineChart>
      <c:catAx>
        <c:axId val="7408115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5786066"/>
        <c:crosses val="autoZero"/>
        <c:auto val="1"/>
        <c:lblAlgn val="ctr"/>
        <c:lblOffset val="100"/>
        <c:noMultiLvlLbl val="0"/>
      </c:catAx>
      <c:valAx>
        <c:axId val="99578606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08115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9e73ca42-67df-4076-ba67-4b2f04d7bae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[OTS Project Dataset.xlsx]Pivotted Data!PivotTable11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  <a:r>
              <a:rPr lang="en-GB" altLang="en-US" sz="1600"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rPr>
              <a:t>Order By Month To Total Revenue And Profit</a:t>
            </a:r>
            <a:endParaRPr lang="en-GB" altLang="en-US" sz="1600">
              <a:latin typeface="Arial" panose="020B0604020202020204" pitchFamily="7" charset="0"/>
              <a:ea typeface="Arial" panose="020B0604020202020204" pitchFamily="7" charset="0"/>
              <a:cs typeface="Arial" panose="020B0604020202020204" pitchFamily="7" charset="0"/>
              <a:sym typeface="Arial" panose="020B0604020202020204" pitchFamily="7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'Pivotted Data'!$B$19</c:f>
              <c:strCache>
                <c:ptCount val="1"/>
                <c:pt idx="0">
                  <c:v>Sum of Total_Revenue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'Pivotted Data'!$A$20:$A$23</c:f>
              <c:strCache>
                <c:ptCount val="3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</c:strCache>
            </c:strRef>
          </c:cat>
          <c:val>
            <c:numRef>
              <c:f>'Pivotted Data'!$B$20:$B$23</c:f>
              <c:numCache>
                <c:formatCode>[$₦-470]#,##0_);[Red]\([$₦-470]#,##0\)</c:formatCode>
                <c:ptCount val="3"/>
                <c:pt idx="0">
                  <c:v>13925000</c:v>
                </c:pt>
                <c:pt idx="1">
                  <c:v>19025000</c:v>
                </c:pt>
                <c:pt idx="2">
                  <c:v>18335000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'Pivotted Data'!$C$19</c:f>
              <c:strCache>
                <c:ptCount val="1"/>
                <c:pt idx="0">
                  <c:v>Sum of Net_Profit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'Pivotted Data'!$A$20:$A$23</c:f>
              <c:strCache>
                <c:ptCount val="3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</c:strCache>
            </c:strRef>
          </c:cat>
          <c:val>
            <c:numRef>
              <c:f>'Pivotted Data'!$C$20:$C$23</c:f>
              <c:numCache>
                <c:formatCode>[$₦-470]#,##0_);[Red]\([$₦-470]#,##0\)</c:formatCode>
                <c:ptCount val="3"/>
                <c:pt idx="0">
                  <c:v>7242000</c:v>
                </c:pt>
                <c:pt idx="1">
                  <c:v>10006000</c:v>
                </c:pt>
                <c:pt idx="2">
                  <c:v>9345000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94042194"/>
        <c:axId val="927310673"/>
      </c:lineChart>
      <c:catAx>
        <c:axId val="89404219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927310673"/>
        <c:crosses val="autoZero"/>
        <c:auto val="1"/>
        <c:lblAlgn val="ctr"/>
        <c:lblOffset val="100"/>
        <c:noMultiLvlLbl val="0"/>
      </c:catAx>
      <c:valAx>
        <c:axId val="9273106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[$₦-470]#,##0_);[Red]\([$₦-470]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89404219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7" charset="0"/>
              <a:ea typeface="Arial" panose="020B0604020202020204" pitchFamily="7" charset="0"/>
              <a:cs typeface="Arial" panose="020B0604020202020204" pitchFamily="7" charset="0"/>
              <a:sym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74d3bab-0b9f-44c0-a629-65d576f7fdd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latin typeface="Arial" panose="020B0604020202020204" pitchFamily="7" charset="0"/>
          <a:ea typeface="Arial" panose="020B0604020202020204" pitchFamily="7" charset="0"/>
          <a:cs typeface="Arial" panose="020B0604020202020204" pitchFamily="7" charset="0"/>
          <a:sym typeface="Arial" panose="020B0604020202020204" pitchFamily="7" charset="0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[OTS Project Dataset.xlsx]Pivotted Data!PivotTable12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8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  <a:r>
              <a:rPr lang="en-GB" altLang="en-US" sz="1800"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rPr>
              <a:t>Corporate Client Tier By </a:t>
            </a:r>
            <a:endParaRPr lang="en-GB" altLang="en-US" sz="1800">
              <a:latin typeface="Arial Black" panose="020B0A04020102020204" charset="0"/>
              <a:ea typeface="Arial Black" panose="020B0A04020102020204" charset="0"/>
              <a:cs typeface="Arial Black" panose="020B0A04020102020204" charset="0"/>
              <a:sym typeface="Arial Black" panose="020B0A04020102020204" charset="0"/>
            </a:endParaRPr>
          </a:p>
          <a:p>
            <a:pPr defTabSz="914400">
              <a:defRPr lang="en-US" sz="18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  <a:r>
              <a:rPr lang="en-GB" altLang="en-US" sz="1800"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rPr>
              <a:t>Percentage Value Of Revenue</a:t>
            </a:r>
            <a:endParaRPr lang="en-GB" altLang="en-US" sz="1800">
              <a:latin typeface="Arial Black" panose="020B0A04020102020204" charset="0"/>
              <a:ea typeface="Arial Black" panose="020B0A04020102020204" charset="0"/>
              <a:cs typeface="Arial Black" panose="020B0A04020102020204" charset="0"/>
              <a:sym typeface="Arial Black" panose="020B0A0402010202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'Pivotted Data'!$B$26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'Pivotted Data'!$A$27:$A$30</c:f>
              <c:strCache>
                <c:ptCount val="3"/>
                <c:pt idx="0">
                  <c:v>Corporate</c:v>
                </c:pt>
                <c:pt idx="1">
                  <c:v>Staff</c:v>
                </c:pt>
                <c:pt idx="2">
                  <c:v>Student</c:v>
                </c:pt>
              </c:strCache>
            </c:strRef>
          </c:cat>
          <c:val>
            <c:numRef>
              <c:f>'Pivotted Data'!$B$27:$B$30</c:f>
              <c:numCache>
                <c:formatCode>0.00%</c:formatCode>
                <c:ptCount val="3"/>
                <c:pt idx="0">
                  <c:v>0.400799454031393</c:v>
                </c:pt>
                <c:pt idx="1">
                  <c:v>0.186116798284099</c:v>
                </c:pt>
                <c:pt idx="2">
                  <c:v>0.413083747684508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9d6338-b3a9-4ea4-ac68-fbcd51cdaaf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[OTS Project Dataset.xlsx]Pivotted Data!PivotTable13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20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  <a:r>
              <a:rPr lang="en-GB" altLang="en-US" sz="2000"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rPr>
              <a:t>Consultant By Profit</a:t>
            </a:r>
            <a:endParaRPr lang="en-GB" altLang="en-US" sz="2000">
              <a:latin typeface="Arial Black" panose="020B0A04020102020204" charset="0"/>
              <a:ea typeface="Arial Black" panose="020B0A04020102020204" charset="0"/>
              <a:cs typeface="Arial Black" panose="020B0A04020102020204" charset="0"/>
              <a:sym typeface="Arial Black" panose="020B0A0402010202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'Pivotted Data'!$B$33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'Pivotted Data'!$A$34:$A$44</c:f>
              <c:strCache>
                <c:ptCount val="10"/>
                <c:pt idx="0">
                  <c:v>Comfort Fajugbagbe</c:v>
                </c:pt>
                <c:pt idx="1">
                  <c:v>Elizabeth Kalu</c:v>
                </c:pt>
                <c:pt idx="2">
                  <c:v>Epiphane Kwesi</c:v>
                </c:pt>
                <c:pt idx="3">
                  <c:v>Humphrey Ojotogba</c:v>
                </c:pt>
                <c:pt idx="4">
                  <c:v>Theophilus Enahoro</c:v>
                </c:pt>
                <c:pt idx="5">
                  <c:v>Johnson Ntoh</c:v>
                </c:pt>
                <c:pt idx="6">
                  <c:v>Christabel Tamuno</c:v>
                </c:pt>
                <c:pt idx="7">
                  <c:v>Ekechukwu Hyginus</c:v>
                </c:pt>
                <c:pt idx="8">
                  <c:v>Victor Nzekwu</c:v>
                </c:pt>
                <c:pt idx="9">
                  <c:v>Leonard Nwabueze</c:v>
                </c:pt>
              </c:strCache>
            </c:strRef>
          </c:cat>
          <c:val>
            <c:numRef>
              <c:f>'Pivotted Data'!$B$34:$B$44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0"/>
        <c:axId val="186875346"/>
        <c:axId val="144834949"/>
      </c:barChart>
      <c:catAx>
        <c:axId val="18687534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834949"/>
        <c:crosses val="autoZero"/>
        <c:auto val="1"/>
        <c:lblAlgn val="ctr"/>
        <c:lblOffset val="100"/>
        <c:noMultiLvlLbl val="0"/>
      </c:catAx>
      <c:valAx>
        <c:axId val="14483494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68753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c5fbc5c-2a45-49cf-b429-ce11b985064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[OTS Project Dataset.xlsx]Pivotted Data!PivotTable14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20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  <a:r>
              <a:rPr lang="en-GB" altLang="en-US" sz="2000"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rPr>
              <a:t>Net Profit By Manufacturing Cost</a:t>
            </a:r>
            <a:endParaRPr lang="en-GB" altLang="en-US" sz="2000">
              <a:latin typeface="Arial Black" panose="020B0A04020102020204" charset="0"/>
              <a:ea typeface="Arial Black" panose="020B0A04020102020204" charset="0"/>
              <a:cs typeface="Arial Black" panose="020B0A04020102020204" charset="0"/>
              <a:sym typeface="Arial Black" panose="020B0A0402010202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'Pivotted Data'!$B$47</c:f>
              <c:strCache>
                <c:ptCount val="1"/>
                <c:pt idx="0">
                  <c:v>Sum of Net_Profit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'Pivotted Data'!$A$48:$A$53</c:f>
              <c:strCache>
                <c:ptCount val="5"/>
                <c:pt idx="0">
                  <c:v>Flat Panel Monitors</c:v>
                </c:pt>
                <c:pt idx="1">
                  <c:v>Laptops &amp; Systems</c:v>
                </c:pt>
                <c:pt idx="2">
                  <c:v>Networking Switches</c:v>
                </c:pt>
                <c:pt idx="3">
                  <c:v>Power UPS Backups</c:v>
                </c:pt>
                <c:pt idx="4">
                  <c:v>Server Hard Drives</c:v>
                </c:pt>
              </c:strCache>
            </c:strRef>
          </c:cat>
          <c:val>
            <c:numRef>
              <c:f>'Pivotted Data'!$B$48:$B$53</c:f>
              <c:numCache>
                <c:formatCode>General</c:formatCode>
                <c:ptCount val="5"/>
                <c:pt idx="0">
                  <c:v>4455000</c:v>
                </c:pt>
                <c:pt idx="1">
                  <c:v>8748000</c:v>
                </c:pt>
                <c:pt idx="2">
                  <c:v>6060000</c:v>
                </c:pt>
                <c:pt idx="3">
                  <c:v>3672500</c:v>
                </c:pt>
                <c:pt idx="4">
                  <c:v>3657500</c:v>
                </c:pt>
              </c:numCache>
            </c:numRef>
          </c:val>
        </c:ser>
        <c:ser>
          <c:idx val="1"/>
          <c:order val="1"/>
          <c:tx>
            <c:strRef>
              <c:f>'Pivotted Data'!$C$47</c:f>
              <c:strCache>
                <c:ptCount val="1"/>
                <c:pt idx="0">
                  <c:v>Sum of Manufacturing_Cost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'Pivotted Data'!$A$48:$A$53</c:f>
              <c:strCache>
                <c:ptCount val="5"/>
                <c:pt idx="0">
                  <c:v>Flat Panel Monitors</c:v>
                </c:pt>
                <c:pt idx="1">
                  <c:v>Laptops &amp; Systems</c:v>
                </c:pt>
                <c:pt idx="2">
                  <c:v>Networking Switches</c:v>
                </c:pt>
                <c:pt idx="3">
                  <c:v>Power UPS Backups</c:v>
                </c:pt>
                <c:pt idx="4">
                  <c:v>Server Hard Drives</c:v>
                </c:pt>
              </c:strCache>
            </c:strRef>
          </c:cat>
          <c:val>
            <c:numRef>
              <c:f>'Pivotted Data'!$C$48:$C$53</c:f>
              <c:numCache>
                <c:formatCode>General</c:formatCode>
                <c:ptCount val="5"/>
                <c:pt idx="0">
                  <c:v>2970000</c:v>
                </c:pt>
                <c:pt idx="1">
                  <c:v>10692000</c:v>
                </c:pt>
                <c:pt idx="2">
                  <c:v>6060000</c:v>
                </c:pt>
                <c:pt idx="3">
                  <c:v>1977500</c:v>
                </c:pt>
                <c:pt idx="4">
                  <c:v>2992500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61716579"/>
        <c:axId val="962366403"/>
      </c:barChart>
      <c:catAx>
        <c:axId val="7617165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2366403"/>
        <c:crosses val="autoZero"/>
        <c:auto val="1"/>
        <c:lblAlgn val="ctr"/>
        <c:lblOffset val="100"/>
        <c:noMultiLvlLbl val="0"/>
      </c:catAx>
      <c:valAx>
        <c:axId val="9623664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17165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e093cd-2e59-4cd5-ba7e-aab452ccd2f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47625</xdr:colOff>
      <xdr:row>0</xdr:row>
      <xdr:rowOff>635</xdr:rowOff>
    </xdr:from>
    <xdr:to>
      <xdr:col>14</xdr:col>
      <xdr:colOff>606425</xdr:colOff>
      <xdr:row>14</xdr:row>
      <xdr:rowOff>76835</xdr:rowOff>
    </xdr:to>
    <xdr:graphicFrame>
      <xdr:nvGraphicFramePr>
        <xdr:cNvPr id="6" name="Chart 5"/>
        <xdr:cNvGraphicFramePr/>
      </xdr:nvGraphicFramePr>
      <xdr:xfrm>
        <a:off x="10306050" y="63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322</xdr:col>
      <xdr:colOff>204470</xdr:colOff>
      <xdr:row>13</xdr:row>
      <xdr:rowOff>172720</xdr:rowOff>
    </xdr:from>
    <xdr:to>
      <xdr:col>328</xdr:col>
      <xdr:colOff>372110</xdr:colOff>
      <xdr:row>23</xdr:row>
      <xdr:rowOff>182245</xdr:rowOff>
    </xdr:to>
    <xdr:graphicFrame>
      <xdr:nvGraphicFramePr>
        <xdr:cNvPr id="7" name="Chart 6"/>
        <xdr:cNvGraphicFramePr/>
      </xdr:nvGraphicFramePr>
      <xdr:xfrm>
        <a:off x="202486895" y="2649220"/>
        <a:ext cx="3825240" cy="1914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71120</xdr:colOff>
      <xdr:row>0</xdr:row>
      <xdr:rowOff>635</xdr:rowOff>
    </xdr:from>
    <xdr:to>
      <xdr:col>23</xdr:col>
      <xdr:colOff>20320</xdr:colOff>
      <xdr:row>14</xdr:row>
      <xdr:rowOff>76835</xdr:rowOff>
    </xdr:to>
    <xdr:graphicFrame>
      <xdr:nvGraphicFramePr>
        <xdr:cNvPr id="8" name="Chart 7"/>
        <xdr:cNvGraphicFramePr/>
      </xdr:nvGraphicFramePr>
      <xdr:xfrm>
        <a:off x="15206345" y="63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67945</xdr:colOff>
      <xdr:row>14</xdr:row>
      <xdr:rowOff>157480</xdr:rowOff>
    </xdr:from>
    <xdr:to>
      <xdr:col>15</xdr:col>
      <xdr:colOff>17145</xdr:colOff>
      <xdr:row>29</xdr:row>
      <xdr:rowOff>43180</xdr:rowOff>
    </xdr:to>
    <xdr:graphicFrame>
      <xdr:nvGraphicFramePr>
        <xdr:cNvPr id="9" name="Chart 8"/>
        <xdr:cNvGraphicFramePr/>
      </xdr:nvGraphicFramePr>
      <xdr:xfrm>
        <a:off x="10326370" y="28244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40640</xdr:colOff>
      <xdr:row>29</xdr:row>
      <xdr:rowOff>113030</xdr:rowOff>
    </xdr:from>
    <xdr:to>
      <xdr:col>15</xdr:col>
      <xdr:colOff>10795</xdr:colOff>
      <xdr:row>43</xdr:row>
      <xdr:rowOff>189230</xdr:rowOff>
    </xdr:to>
    <xdr:graphicFrame>
      <xdr:nvGraphicFramePr>
        <xdr:cNvPr id="10" name="Chart 9"/>
        <xdr:cNvGraphicFramePr/>
      </xdr:nvGraphicFramePr>
      <xdr:xfrm>
        <a:off x="10299065" y="5637530"/>
        <a:ext cx="484695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71120</xdr:colOff>
      <xdr:row>14</xdr:row>
      <xdr:rowOff>157480</xdr:rowOff>
    </xdr:from>
    <xdr:to>
      <xdr:col>23</xdr:col>
      <xdr:colOff>20320</xdr:colOff>
      <xdr:row>29</xdr:row>
      <xdr:rowOff>43180</xdr:rowOff>
    </xdr:to>
    <xdr:graphicFrame>
      <xdr:nvGraphicFramePr>
        <xdr:cNvPr id="11" name="Chart 10"/>
        <xdr:cNvGraphicFramePr/>
      </xdr:nvGraphicFramePr>
      <xdr:xfrm>
        <a:off x="15206345" y="28244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15</xdr:col>
      <xdr:colOff>67945</xdr:colOff>
      <xdr:row>29</xdr:row>
      <xdr:rowOff>103505</xdr:rowOff>
    </xdr:from>
    <xdr:to>
      <xdr:col>18</xdr:col>
      <xdr:colOff>67945</xdr:colOff>
      <xdr:row>42</xdr:row>
      <xdr:rowOff>1905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Hub_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ub_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03170" y="562800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20320</xdr:colOff>
      <xdr:row>29</xdr:row>
      <xdr:rowOff>97155</xdr:rowOff>
    </xdr:from>
    <xdr:to>
      <xdr:col>23</xdr:col>
      <xdr:colOff>20320</xdr:colOff>
      <xdr:row>41</xdr:row>
      <xdr:rowOff>186055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Consulta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sulta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03545" y="562165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83820</xdr:colOff>
      <xdr:row>1</xdr:row>
      <xdr:rowOff>38100</xdr:rowOff>
    </xdr:from>
    <xdr:to>
      <xdr:col>14</xdr:col>
      <xdr:colOff>237490</xdr:colOff>
      <xdr:row>34</xdr:row>
      <xdr:rowOff>154940</xdr:rowOff>
    </xdr:to>
    <xdr:graphicFrame>
      <xdr:nvGraphicFramePr>
        <xdr:cNvPr id="3" name="Chart 2"/>
        <xdr:cNvGraphicFramePr/>
      </xdr:nvGraphicFramePr>
      <xdr:xfrm>
        <a:off x="2522220" y="889000"/>
        <a:ext cx="6249670" cy="6403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377190</xdr:colOff>
      <xdr:row>1</xdr:row>
      <xdr:rowOff>0</xdr:rowOff>
    </xdr:from>
    <xdr:to>
      <xdr:col>21</xdr:col>
      <xdr:colOff>69215</xdr:colOff>
      <xdr:row>16</xdr:row>
      <xdr:rowOff>33655</xdr:rowOff>
    </xdr:to>
    <xdr:graphicFrame>
      <xdr:nvGraphicFramePr>
        <xdr:cNvPr id="4" name="Chart 3"/>
        <xdr:cNvGraphicFramePr/>
      </xdr:nvGraphicFramePr>
      <xdr:xfrm>
        <a:off x="8911590" y="850900"/>
        <a:ext cx="3959225" cy="28911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377190</xdr:colOff>
      <xdr:row>17</xdr:row>
      <xdr:rowOff>12700</xdr:rowOff>
    </xdr:from>
    <xdr:to>
      <xdr:col>21</xdr:col>
      <xdr:colOff>58420</xdr:colOff>
      <xdr:row>34</xdr:row>
      <xdr:rowOff>144780</xdr:rowOff>
    </xdr:to>
    <xdr:graphicFrame>
      <xdr:nvGraphicFramePr>
        <xdr:cNvPr id="5" name="Chart 4"/>
        <xdr:cNvGraphicFramePr/>
      </xdr:nvGraphicFramePr>
      <xdr:xfrm>
        <a:off x="8911590" y="3911600"/>
        <a:ext cx="3948430" cy="3370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12065</xdr:colOff>
      <xdr:row>1</xdr:row>
      <xdr:rowOff>0</xdr:rowOff>
    </xdr:from>
    <xdr:to>
      <xdr:col>27</xdr:col>
      <xdr:colOff>375285</xdr:colOff>
      <xdr:row>16</xdr:row>
      <xdr:rowOff>28575</xdr:rowOff>
    </xdr:to>
    <xdr:graphicFrame>
      <xdr:nvGraphicFramePr>
        <xdr:cNvPr id="6" name="Chart 5"/>
        <xdr:cNvGraphicFramePr/>
      </xdr:nvGraphicFramePr>
      <xdr:xfrm>
        <a:off x="12813665" y="850900"/>
        <a:ext cx="4020820" cy="28860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71120</xdr:colOff>
      <xdr:row>17</xdr:row>
      <xdr:rowOff>18415</xdr:rowOff>
    </xdr:from>
    <xdr:to>
      <xdr:col>27</xdr:col>
      <xdr:colOff>385445</xdr:colOff>
      <xdr:row>34</xdr:row>
      <xdr:rowOff>177800</xdr:rowOff>
    </xdr:to>
    <xdr:graphicFrame>
      <xdr:nvGraphicFramePr>
        <xdr:cNvPr id="7" name="Chart 6"/>
        <xdr:cNvGraphicFramePr/>
      </xdr:nvGraphicFramePr>
      <xdr:xfrm>
        <a:off x="12872720" y="3917315"/>
        <a:ext cx="3971925" cy="3397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506095</xdr:colOff>
      <xdr:row>1</xdr:row>
      <xdr:rowOff>81915</xdr:rowOff>
    </xdr:from>
    <xdr:to>
      <xdr:col>39</xdr:col>
      <xdr:colOff>202565</xdr:colOff>
      <xdr:row>34</xdr:row>
      <xdr:rowOff>160655</xdr:rowOff>
    </xdr:to>
    <xdr:graphicFrame>
      <xdr:nvGraphicFramePr>
        <xdr:cNvPr id="8" name="Chart 7"/>
        <xdr:cNvGraphicFramePr/>
      </xdr:nvGraphicFramePr>
      <xdr:xfrm>
        <a:off x="16965295" y="932815"/>
        <a:ext cx="7011670" cy="6365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9525</xdr:colOff>
      <xdr:row>19</xdr:row>
      <xdr:rowOff>6350</xdr:rowOff>
    </xdr:from>
    <xdr:to>
      <xdr:col>3</xdr:col>
      <xdr:colOff>591185</xdr:colOff>
      <xdr:row>35</xdr:row>
      <xdr:rowOff>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8" name="Hub_Region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ub_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4286250"/>
              <a:ext cx="2410460" cy="3041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50800</xdr:colOff>
      <xdr:row>1</xdr:row>
      <xdr:rowOff>38100</xdr:rowOff>
    </xdr:from>
    <xdr:to>
      <xdr:col>4</xdr:col>
      <xdr:colOff>31115</xdr:colOff>
      <xdr:row>18</xdr:row>
      <xdr:rowOff>88265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9" name="Consultant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sultant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00" y="889000"/>
              <a:ext cx="2418715" cy="32886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5.7881712963" refreshedBy="S" recordCount="60">
  <cacheSource type="worksheet">
    <worksheetSource name="Table1"/>
  </cacheSource>
  <cacheFields count="10">
    <cacheField name="Hub_Region" numFmtId="0">
      <sharedItems count="3">
        <s v="Port Harcourt Hub"/>
        <s v="Abuja Hub"/>
        <s v="Lagos Hub"/>
      </sharedItems>
    </cacheField>
    <cacheField name="Consultant" numFmtId="0">
      <sharedItems count="16">
        <s v="Amaku Uchenna"/>
        <s v="Anthony Madugba"/>
        <s v="Anthony Umole"/>
        <s v="Benjamin Ajah"/>
        <s v="Chinedu Okeke"/>
        <s v="Christabel Tamuno"/>
        <s v="Comfort Fajugbagbe"/>
        <s v="Ekechukwu Hyginus"/>
        <s v="Elizabeth Kalu"/>
        <s v="Epiphane Kwesi"/>
        <s v="Humphrey Ojotogba"/>
        <s v="Johnson Ntoh"/>
        <s v="Leonard Nwabueze"/>
        <s v="Theophilus Enahoro"/>
        <s v="Victor Nzekwu"/>
        <s v="Adelodun Stephen"/>
      </sharedItems>
    </cacheField>
    <cacheField name="Corporate_Client_Tier" numFmtId="0">
      <sharedItems count="3">
        <s v="Student"/>
        <s v="Staff"/>
        <s v="Corporate"/>
      </sharedItems>
    </cacheField>
    <cacheField name="Device_Category" numFmtId="0">
      <sharedItems count="5">
        <s v="Server Hard Drives"/>
        <s v="Networking Switches"/>
        <s v="Flat Panel Monitors"/>
        <s v="Power UPS Backups"/>
        <s v="Laptops &amp; Systems"/>
      </sharedItems>
    </cacheField>
    <cacheField name="Hardware_Units" numFmtId="3">
      <sharedItems containsSemiMixedTypes="0" containsString="0" containsNumber="1" containsInteger="1" minValue="4" maxValue="37" count="21">
        <n v="25"/>
        <n v="37"/>
        <n v="18"/>
        <n v="16"/>
        <n v="9"/>
        <n v="5"/>
        <n v="17"/>
        <n v="13"/>
        <n v="10"/>
        <n v="30"/>
        <n v="21"/>
        <n v="22"/>
        <n v="8"/>
        <n v="11"/>
        <n v="28"/>
        <n v="7"/>
        <n v="15"/>
        <n v="4"/>
        <n v="24"/>
        <n v="12"/>
        <n v="14"/>
      </sharedItems>
    </cacheField>
    <cacheField name="Total_Revenue" numFmtId="176">
      <sharedItems containsSemiMixedTypes="0" containsString="0" containsNumber="1" containsInteger="1" minValue="200000" maxValue="4440000" count="43">
        <n v="2375000"/>
        <n v="4440000"/>
        <n v="1350000"/>
        <n v="800000"/>
        <n v="1620000"/>
        <n v="855000"/>
        <n v="3000000"/>
        <n v="375000"/>
        <n v="3060000"/>
        <n v="1615000"/>
        <n v="600000"/>
        <n v="650000"/>
        <n v="950000"/>
        <n v="3600000"/>
        <n v="2775000"/>
        <n v="1050000"/>
        <n v="3960000"/>
        <n v="1710000"/>
        <n v="1080000"/>
        <n v="1875000"/>
        <n v="3240000"/>
        <n v="760000"/>
        <n v="1920000"/>
        <n v="1275000"/>
        <n v="250000"/>
        <n v="1320000"/>
        <n v="2100000"/>
        <n v="1500000"/>
        <n v="1045000"/>
        <n v="675000"/>
        <n v="1850000"/>
        <n v="1260000"/>
        <n v="475000"/>
        <n v="1800000"/>
        <n v="825000"/>
        <n v="200000"/>
        <n v="525000"/>
        <n v="1200000"/>
        <n v="2340000"/>
        <n v="2640000"/>
        <n v="1140000"/>
        <n v="450000"/>
        <n v="2160000"/>
      </sharedItems>
    </cacheField>
    <cacheField name="Manufacturing_Cost" numFmtId="177">
      <sharedItems containsSemiMixedTypes="0" containsString="0" containsNumber="1" containsInteger="1" minValue="70000" maxValue="2220000" count="42">
        <n v="1068750"/>
        <n v="2220000"/>
        <n v="540000"/>
        <n v="280000"/>
        <n v="891000"/>
        <n v="384750"/>
        <n v="1500000"/>
        <n v="150000"/>
        <n v="1683000"/>
        <n v="726750"/>
        <n v="300000"/>
        <n v="227500"/>
        <n v="427500"/>
        <n v="1800000"/>
        <n v="1110000"/>
        <n v="367500"/>
        <n v="2178000"/>
        <n v="769500"/>
        <n v="750000"/>
        <n v="1782000"/>
        <n v="342000"/>
        <n v="960000"/>
        <n v="510000"/>
        <n v="87500"/>
        <n v="660000"/>
        <n v="840000"/>
        <n v="525000"/>
        <n v="470250"/>
        <n v="270000"/>
        <n v="647500"/>
        <n v="693000"/>
        <n v="213750"/>
        <n v="900000"/>
        <n v="330000"/>
        <n v="70000"/>
        <n v="210000"/>
        <n v="420000"/>
        <n v="1287000"/>
        <n v="1320000"/>
        <n v="513000"/>
        <n v="157500"/>
        <n v="1188000"/>
      </sharedItems>
    </cacheField>
    <cacheField name="Net_Profit" numFmtId="177">
      <sharedItems containsSemiMixedTypes="0" containsString="0" containsNumber="1" containsInteger="1" minValue="130000" maxValue="2220000" count="44">
        <n v="1306250"/>
        <n v="2220000"/>
        <n v="810000"/>
        <n v="520000"/>
        <n v="729000"/>
        <n v="470250"/>
        <n v="1500000"/>
        <n v="225000"/>
        <n v="1377000"/>
        <n v="888250"/>
        <n v="300000"/>
        <n v="422500"/>
        <n v="522500"/>
        <n v="1800000"/>
        <n v="1665000"/>
        <n v="682500"/>
        <n v="1782000"/>
        <n v="940500"/>
        <n v="540000"/>
        <n v="1125000"/>
        <n v="1458000"/>
        <n v="418000"/>
        <n v="960000"/>
        <n v="765000"/>
        <n v="162500"/>
        <n v="660000"/>
        <n v="1260000"/>
        <n v="975000"/>
        <n v="574750"/>
        <n v="405000"/>
        <n v="1202500"/>
        <n v="567000"/>
        <n v="261250"/>
        <n v="900000"/>
        <n v="495000"/>
        <n v="130000"/>
        <n v="315000"/>
        <n v="780000"/>
        <n v="1053000"/>
        <n v="1320000"/>
        <n v="627000"/>
        <n v="630000"/>
        <n v="292500"/>
        <n v="972000"/>
      </sharedItems>
    </cacheField>
    <cacheField name="Order_Date" numFmtId="58">
      <sharedItems containsSemiMixedTypes="0" containsString="0" containsNonDate="0" containsDate="1" minDate="2026-03-02T00:00:00" maxDate="2026-05-28T00:00:00" count="60"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01T00:00:00"/>
        <d v="2026-05-02T00:00:00"/>
        <d v="2026-05-03T00:00:00"/>
        <d v="2026-05-04T00:00:00"/>
        <d v="2026-05-05T00:00:00"/>
      </sharedItems>
    </cacheField>
    <cacheField name="Order_Month" numFmtId="58">
      <sharedItems count="3">
        <s v="March"/>
        <s v="April"/>
        <s v="May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">
  <r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0"/>
  </r>
  <r>
    <x v="1"/>
    <x v="2"/>
    <x v="2"/>
    <x v="2"/>
    <x v="2"/>
    <x v="2"/>
    <x v="2"/>
    <x v="2"/>
    <x v="2"/>
    <x v="0"/>
  </r>
  <r>
    <x v="1"/>
    <x v="3"/>
    <x v="0"/>
    <x v="3"/>
    <x v="3"/>
    <x v="3"/>
    <x v="3"/>
    <x v="3"/>
    <x v="3"/>
    <x v="0"/>
  </r>
  <r>
    <x v="2"/>
    <x v="4"/>
    <x v="1"/>
    <x v="4"/>
    <x v="4"/>
    <x v="4"/>
    <x v="4"/>
    <x v="4"/>
    <x v="4"/>
    <x v="0"/>
  </r>
  <r>
    <x v="2"/>
    <x v="5"/>
    <x v="2"/>
    <x v="0"/>
    <x v="4"/>
    <x v="5"/>
    <x v="5"/>
    <x v="5"/>
    <x v="5"/>
    <x v="0"/>
  </r>
  <r>
    <x v="0"/>
    <x v="6"/>
    <x v="0"/>
    <x v="1"/>
    <x v="0"/>
    <x v="6"/>
    <x v="6"/>
    <x v="6"/>
    <x v="6"/>
    <x v="0"/>
  </r>
  <r>
    <x v="0"/>
    <x v="7"/>
    <x v="1"/>
    <x v="2"/>
    <x v="5"/>
    <x v="7"/>
    <x v="7"/>
    <x v="7"/>
    <x v="7"/>
    <x v="0"/>
  </r>
  <r>
    <x v="1"/>
    <x v="8"/>
    <x v="2"/>
    <x v="3"/>
    <x v="3"/>
    <x v="3"/>
    <x v="3"/>
    <x v="3"/>
    <x v="8"/>
    <x v="0"/>
  </r>
  <r>
    <x v="1"/>
    <x v="9"/>
    <x v="0"/>
    <x v="4"/>
    <x v="6"/>
    <x v="8"/>
    <x v="8"/>
    <x v="8"/>
    <x v="9"/>
    <x v="0"/>
  </r>
  <r>
    <x v="2"/>
    <x v="10"/>
    <x v="1"/>
    <x v="0"/>
    <x v="6"/>
    <x v="9"/>
    <x v="9"/>
    <x v="9"/>
    <x v="10"/>
    <x v="0"/>
  </r>
  <r>
    <x v="2"/>
    <x v="11"/>
    <x v="2"/>
    <x v="1"/>
    <x v="5"/>
    <x v="10"/>
    <x v="10"/>
    <x v="10"/>
    <x v="11"/>
    <x v="0"/>
  </r>
  <r>
    <x v="0"/>
    <x v="12"/>
    <x v="0"/>
    <x v="2"/>
    <x v="2"/>
    <x v="2"/>
    <x v="2"/>
    <x v="2"/>
    <x v="12"/>
    <x v="0"/>
  </r>
  <r>
    <x v="0"/>
    <x v="13"/>
    <x v="1"/>
    <x v="3"/>
    <x v="7"/>
    <x v="11"/>
    <x v="11"/>
    <x v="11"/>
    <x v="13"/>
    <x v="0"/>
  </r>
  <r>
    <x v="1"/>
    <x v="14"/>
    <x v="2"/>
    <x v="4"/>
    <x v="4"/>
    <x v="4"/>
    <x v="4"/>
    <x v="4"/>
    <x v="14"/>
    <x v="0"/>
  </r>
  <r>
    <x v="1"/>
    <x v="15"/>
    <x v="0"/>
    <x v="0"/>
    <x v="8"/>
    <x v="12"/>
    <x v="12"/>
    <x v="12"/>
    <x v="15"/>
    <x v="0"/>
  </r>
  <r>
    <x v="2"/>
    <x v="0"/>
    <x v="1"/>
    <x v="1"/>
    <x v="9"/>
    <x v="13"/>
    <x v="13"/>
    <x v="13"/>
    <x v="16"/>
    <x v="0"/>
  </r>
  <r>
    <x v="2"/>
    <x v="1"/>
    <x v="2"/>
    <x v="2"/>
    <x v="1"/>
    <x v="14"/>
    <x v="14"/>
    <x v="14"/>
    <x v="17"/>
    <x v="0"/>
  </r>
  <r>
    <x v="0"/>
    <x v="2"/>
    <x v="0"/>
    <x v="3"/>
    <x v="10"/>
    <x v="15"/>
    <x v="15"/>
    <x v="15"/>
    <x v="18"/>
    <x v="0"/>
  </r>
  <r>
    <x v="0"/>
    <x v="3"/>
    <x v="1"/>
    <x v="4"/>
    <x v="11"/>
    <x v="16"/>
    <x v="16"/>
    <x v="16"/>
    <x v="19"/>
    <x v="0"/>
  </r>
  <r>
    <x v="1"/>
    <x v="4"/>
    <x v="2"/>
    <x v="0"/>
    <x v="2"/>
    <x v="17"/>
    <x v="17"/>
    <x v="17"/>
    <x v="20"/>
    <x v="1"/>
  </r>
  <r>
    <x v="1"/>
    <x v="5"/>
    <x v="0"/>
    <x v="1"/>
    <x v="4"/>
    <x v="18"/>
    <x v="2"/>
    <x v="18"/>
    <x v="21"/>
    <x v="1"/>
  </r>
  <r>
    <x v="2"/>
    <x v="6"/>
    <x v="1"/>
    <x v="2"/>
    <x v="0"/>
    <x v="19"/>
    <x v="18"/>
    <x v="19"/>
    <x v="22"/>
    <x v="1"/>
  </r>
  <r>
    <x v="2"/>
    <x v="7"/>
    <x v="2"/>
    <x v="3"/>
    <x v="7"/>
    <x v="11"/>
    <x v="11"/>
    <x v="11"/>
    <x v="23"/>
    <x v="1"/>
  </r>
  <r>
    <x v="0"/>
    <x v="8"/>
    <x v="0"/>
    <x v="4"/>
    <x v="2"/>
    <x v="20"/>
    <x v="19"/>
    <x v="20"/>
    <x v="24"/>
    <x v="1"/>
  </r>
  <r>
    <x v="0"/>
    <x v="9"/>
    <x v="1"/>
    <x v="0"/>
    <x v="12"/>
    <x v="21"/>
    <x v="20"/>
    <x v="21"/>
    <x v="25"/>
    <x v="1"/>
  </r>
  <r>
    <x v="1"/>
    <x v="10"/>
    <x v="2"/>
    <x v="1"/>
    <x v="3"/>
    <x v="22"/>
    <x v="21"/>
    <x v="22"/>
    <x v="26"/>
    <x v="1"/>
  </r>
  <r>
    <x v="1"/>
    <x v="11"/>
    <x v="0"/>
    <x v="2"/>
    <x v="6"/>
    <x v="23"/>
    <x v="22"/>
    <x v="23"/>
    <x v="27"/>
    <x v="1"/>
  </r>
  <r>
    <x v="2"/>
    <x v="12"/>
    <x v="1"/>
    <x v="3"/>
    <x v="5"/>
    <x v="24"/>
    <x v="23"/>
    <x v="24"/>
    <x v="28"/>
    <x v="1"/>
  </r>
  <r>
    <x v="2"/>
    <x v="13"/>
    <x v="2"/>
    <x v="4"/>
    <x v="2"/>
    <x v="20"/>
    <x v="19"/>
    <x v="20"/>
    <x v="29"/>
    <x v="1"/>
  </r>
  <r>
    <x v="0"/>
    <x v="14"/>
    <x v="0"/>
    <x v="0"/>
    <x v="8"/>
    <x v="12"/>
    <x v="12"/>
    <x v="12"/>
    <x v="30"/>
    <x v="1"/>
  </r>
  <r>
    <x v="0"/>
    <x v="15"/>
    <x v="1"/>
    <x v="1"/>
    <x v="13"/>
    <x v="25"/>
    <x v="24"/>
    <x v="25"/>
    <x v="31"/>
    <x v="1"/>
  </r>
  <r>
    <x v="1"/>
    <x v="0"/>
    <x v="2"/>
    <x v="2"/>
    <x v="14"/>
    <x v="26"/>
    <x v="25"/>
    <x v="26"/>
    <x v="32"/>
    <x v="1"/>
  </r>
  <r>
    <x v="1"/>
    <x v="1"/>
    <x v="0"/>
    <x v="3"/>
    <x v="9"/>
    <x v="27"/>
    <x v="26"/>
    <x v="27"/>
    <x v="33"/>
    <x v="1"/>
  </r>
  <r>
    <x v="2"/>
    <x v="2"/>
    <x v="1"/>
    <x v="4"/>
    <x v="2"/>
    <x v="20"/>
    <x v="19"/>
    <x v="20"/>
    <x v="34"/>
    <x v="1"/>
  </r>
  <r>
    <x v="2"/>
    <x v="3"/>
    <x v="2"/>
    <x v="0"/>
    <x v="13"/>
    <x v="28"/>
    <x v="27"/>
    <x v="28"/>
    <x v="35"/>
    <x v="1"/>
  </r>
  <r>
    <x v="0"/>
    <x v="4"/>
    <x v="0"/>
    <x v="1"/>
    <x v="5"/>
    <x v="10"/>
    <x v="10"/>
    <x v="10"/>
    <x v="36"/>
    <x v="1"/>
  </r>
  <r>
    <x v="0"/>
    <x v="5"/>
    <x v="1"/>
    <x v="2"/>
    <x v="4"/>
    <x v="29"/>
    <x v="28"/>
    <x v="29"/>
    <x v="37"/>
    <x v="1"/>
  </r>
  <r>
    <x v="1"/>
    <x v="6"/>
    <x v="2"/>
    <x v="3"/>
    <x v="1"/>
    <x v="30"/>
    <x v="29"/>
    <x v="30"/>
    <x v="38"/>
    <x v="1"/>
  </r>
  <r>
    <x v="1"/>
    <x v="7"/>
    <x v="0"/>
    <x v="4"/>
    <x v="15"/>
    <x v="31"/>
    <x v="30"/>
    <x v="31"/>
    <x v="39"/>
    <x v="1"/>
  </r>
  <r>
    <x v="2"/>
    <x v="8"/>
    <x v="1"/>
    <x v="0"/>
    <x v="5"/>
    <x v="32"/>
    <x v="31"/>
    <x v="32"/>
    <x v="40"/>
    <x v="2"/>
  </r>
  <r>
    <x v="2"/>
    <x v="9"/>
    <x v="2"/>
    <x v="1"/>
    <x v="16"/>
    <x v="33"/>
    <x v="32"/>
    <x v="33"/>
    <x v="41"/>
    <x v="2"/>
  </r>
  <r>
    <x v="0"/>
    <x v="10"/>
    <x v="0"/>
    <x v="2"/>
    <x v="13"/>
    <x v="34"/>
    <x v="33"/>
    <x v="34"/>
    <x v="42"/>
    <x v="2"/>
  </r>
  <r>
    <x v="0"/>
    <x v="11"/>
    <x v="1"/>
    <x v="3"/>
    <x v="17"/>
    <x v="35"/>
    <x v="34"/>
    <x v="35"/>
    <x v="43"/>
    <x v="2"/>
  </r>
  <r>
    <x v="1"/>
    <x v="12"/>
    <x v="2"/>
    <x v="4"/>
    <x v="4"/>
    <x v="4"/>
    <x v="4"/>
    <x v="4"/>
    <x v="44"/>
    <x v="2"/>
  </r>
  <r>
    <x v="1"/>
    <x v="13"/>
    <x v="0"/>
    <x v="0"/>
    <x v="4"/>
    <x v="5"/>
    <x v="5"/>
    <x v="5"/>
    <x v="45"/>
    <x v="2"/>
  </r>
  <r>
    <x v="2"/>
    <x v="14"/>
    <x v="1"/>
    <x v="1"/>
    <x v="4"/>
    <x v="18"/>
    <x v="2"/>
    <x v="18"/>
    <x v="46"/>
    <x v="2"/>
  </r>
  <r>
    <x v="2"/>
    <x v="15"/>
    <x v="2"/>
    <x v="2"/>
    <x v="15"/>
    <x v="36"/>
    <x v="35"/>
    <x v="36"/>
    <x v="47"/>
    <x v="2"/>
  </r>
  <r>
    <x v="0"/>
    <x v="0"/>
    <x v="0"/>
    <x v="3"/>
    <x v="18"/>
    <x v="37"/>
    <x v="36"/>
    <x v="37"/>
    <x v="48"/>
    <x v="2"/>
  </r>
  <r>
    <x v="0"/>
    <x v="1"/>
    <x v="1"/>
    <x v="4"/>
    <x v="7"/>
    <x v="38"/>
    <x v="37"/>
    <x v="38"/>
    <x v="49"/>
    <x v="2"/>
  </r>
  <r>
    <x v="1"/>
    <x v="2"/>
    <x v="2"/>
    <x v="0"/>
    <x v="8"/>
    <x v="12"/>
    <x v="12"/>
    <x v="12"/>
    <x v="50"/>
    <x v="2"/>
  </r>
  <r>
    <x v="1"/>
    <x v="3"/>
    <x v="0"/>
    <x v="1"/>
    <x v="11"/>
    <x v="39"/>
    <x v="38"/>
    <x v="39"/>
    <x v="51"/>
    <x v="2"/>
  </r>
  <r>
    <x v="2"/>
    <x v="4"/>
    <x v="1"/>
    <x v="2"/>
    <x v="4"/>
    <x v="29"/>
    <x v="28"/>
    <x v="29"/>
    <x v="52"/>
    <x v="2"/>
  </r>
  <r>
    <x v="2"/>
    <x v="5"/>
    <x v="2"/>
    <x v="3"/>
    <x v="3"/>
    <x v="3"/>
    <x v="3"/>
    <x v="3"/>
    <x v="53"/>
    <x v="2"/>
  </r>
  <r>
    <x v="0"/>
    <x v="6"/>
    <x v="0"/>
    <x v="4"/>
    <x v="2"/>
    <x v="20"/>
    <x v="19"/>
    <x v="20"/>
    <x v="54"/>
    <x v="2"/>
  </r>
  <r>
    <x v="0"/>
    <x v="7"/>
    <x v="1"/>
    <x v="0"/>
    <x v="19"/>
    <x v="40"/>
    <x v="39"/>
    <x v="40"/>
    <x v="55"/>
    <x v="2"/>
  </r>
  <r>
    <x v="1"/>
    <x v="8"/>
    <x v="2"/>
    <x v="1"/>
    <x v="11"/>
    <x v="39"/>
    <x v="38"/>
    <x v="39"/>
    <x v="56"/>
    <x v="2"/>
  </r>
  <r>
    <x v="1"/>
    <x v="9"/>
    <x v="0"/>
    <x v="2"/>
    <x v="20"/>
    <x v="15"/>
    <x v="36"/>
    <x v="41"/>
    <x v="57"/>
    <x v="2"/>
  </r>
  <r>
    <x v="2"/>
    <x v="10"/>
    <x v="1"/>
    <x v="3"/>
    <x v="4"/>
    <x v="41"/>
    <x v="40"/>
    <x v="42"/>
    <x v="58"/>
    <x v="2"/>
  </r>
  <r>
    <x v="2"/>
    <x v="11"/>
    <x v="2"/>
    <x v="4"/>
    <x v="19"/>
    <x v="42"/>
    <x v="41"/>
    <x v="43"/>
    <x v="5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G6" firstHeaderRow="1" firstDataRow="2" firstDataCol="1"/>
  <pivotFields count="10">
    <pivotField axis="axisRow" compact="0" showAll="0">
      <items count="4">
        <item x="1"/>
        <item x="2"/>
        <item x="0"/>
        <item t="default"/>
      </items>
    </pivotField>
    <pivotField compact="0" showAll="0">
      <items count="17">
        <item h="1" x="15"/>
        <item h="1" x="0"/>
        <item h="1" x="1"/>
        <item h="1" x="2"/>
        <item h="1" x="3"/>
        <item h="1"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4">
        <item x="2"/>
        <item x="1"/>
        <item x="0"/>
        <item t="default"/>
      </items>
    </pivotField>
    <pivotField axis="axisCol" compact="0" showAll="0">
      <items count="6">
        <item x="2"/>
        <item x="4"/>
        <item x="1"/>
        <item x="3"/>
        <item x="0"/>
        <item t="default"/>
      </items>
    </pivotField>
    <pivotField compact="0" numFmtId="3" showAll="0">
      <items count="22">
        <item x="17"/>
        <item x="5"/>
        <item x="15"/>
        <item x="12"/>
        <item x="4"/>
        <item x="8"/>
        <item x="13"/>
        <item x="19"/>
        <item x="7"/>
        <item x="20"/>
        <item x="16"/>
        <item x="3"/>
        <item x="6"/>
        <item x="2"/>
        <item x="10"/>
        <item x="11"/>
        <item x="18"/>
        <item x="0"/>
        <item x="14"/>
        <item x="9"/>
        <item x="1"/>
        <item t="default"/>
      </items>
    </pivotField>
    <pivotField compact="0" numFmtId="176" showAll="0">
      <items count="44">
        <item x="35"/>
        <item x="24"/>
        <item x="7"/>
        <item x="41"/>
        <item x="32"/>
        <item x="36"/>
        <item x="10"/>
        <item x="11"/>
        <item x="29"/>
        <item x="21"/>
        <item x="3"/>
        <item x="34"/>
        <item x="5"/>
        <item x="12"/>
        <item x="28"/>
        <item x="15"/>
        <item x="18"/>
        <item x="40"/>
        <item x="37"/>
        <item x="31"/>
        <item x="23"/>
        <item x="25"/>
        <item x="2"/>
        <item x="27"/>
        <item x="9"/>
        <item x="4"/>
        <item x="17"/>
        <item x="33"/>
        <item x="30"/>
        <item x="19"/>
        <item x="22"/>
        <item x="26"/>
        <item x="42"/>
        <item x="38"/>
        <item x="0"/>
        <item x="39"/>
        <item x="14"/>
        <item x="6"/>
        <item x="8"/>
        <item x="20"/>
        <item x="13"/>
        <item x="16"/>
        <item x="1"/>
        <item t="default"/>
      </items>
    </pivotField>
    <pivotField compact="0" numFmtId="177" showAll="0">
      <items count="43">
        <item x="34"/>
        <item x="23"/>
        <item x="7"/>
        <item x="40"/>
        <item x="35"/>
        <item x="31"/>
        <item x="11"/>
        <item x="28"/>
        <item x="3"/>
        <item x="10"/>
        <item x="33"/>
        <item x="20"/>
        <item x="15"/>
        <item x="5"/>
        <item x="36"/>
        <item x="12"/>
        <item x="27"/>
        <item x="22"/>
        <item x="39"/>
        <item x="26"/>
        <item x="2"/>
        <item x="29"/>
        <item x="24"/>
        <item x="30"/>
        <item x="9"/>
        <item x="18"/>
        <item x="17"/>
        <item x="25"/>
        <item x="4"/>
        <item x="32"/>
        <item x="21"/>
        <item x="0"/>
        <item x="14"/>
        <item x="41"/>
        <item x="37"/>
        <item x="38"/>
        <item x="6"/>
        <item x="8"/>
        <item x="19"/>
        <item x="13"/>
        <item x="16"/>
        <item x="1"/>
        <item t="default"/>
      </items>
    </pivotField>
    <pivotField dataField="1" compact="0" numFmtId="177" showAll="0">
      <items count="45">
        <item x="35"/>
        <item x="24"/>
        <item x="7"/>
        <item x="32"/>
        <item x="42"/>
        <item x="10"/>
        <item x="36"/>
        <item x="29"/>
        <item x="21"/>
        <item x="11"/>
        <item x="5"/>
        <item x="34"/>
        <item x="3"/>
        <item x="12"/>
        <item x="18"/>
        <item x="31"/>
        <item x="28"/>
        <item x="40"/>
        <item x="41"/>
        <item x="25"/>
        <item x="15"/>
        <item x="4"/>
        <item x="23"/>
        <item x="37"/>
        <item x="2"/>
        <item x="9"/>
        <item x="33"/>
        <item x="17"/>
        <item x="22"/>
        <item x="43"/>
        <item x="27"/>
        <item x="38"/>
        <item x="19"/>
        <item x="30"/>
        <item x="26"/>
        <item x="0"/>
        <item x="39"/>
        <item x="8"/>
        <item x="20"/>
        <item x="6"/>
        <item x="14"/>
        <item x="16"/>
        <item x="13"/>
        <item x="1"/>
        <item t="default"/>
      </items>
    </pivotField>
    <pivotField compact="0" numFmtId="58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20"/>
        <item x="21"/>
        <item x="22"/>
        <item x="23"/>
        <item x="24"/>
        <item x="25"/>
        <item x="26"/>
        <item x="55"/>
        <item x="56"/>
        <item x="57"/>
        <item x="58"/>
        <item x="5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Net_Profit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9:B13" firstHeaderRow="1" firstDataRow="1" firstDataCol="1"/>
  <pivotFields count="10">
    <pivotField compact="0" showAll="0">
      <items count="4">
        <item x="1"/>
        <item x="2"/>
        <item x="0"/>
        <item t="default"/>
      </items>
    </pivotField>
    <pivotField compact="0" showAll="0">
      <items count="17">
        <item h="1" x="15"/>
        <item h="1" x="0"/>
        <item h="1" x="1"/>
        <item h="1" x="2"/>
        <item h="1" x="3"/>
        <item h="1"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6">
        <item x="2"/>
        <item x="4"/>
        <item x="1"/>
        <item x="3"/>
        <item x="0"/>
        <item t="default"/>
      </items>
    </pivotField>
    <pivotField dataField="1" compact="0" numFmtId="3" showAll="0">
      <items count="22">
        <item x="17"/>
        <item x="5"/>
        <item x="15"/>
        <item x="12"/>
        <item x="4"/>
        <item x="8"/>
        <item x="13"/>
        <item x="19"/>
        <item x="7"/>
        <item x="20"/>
        <item x="16"/>
        <item x="3"/>
        <item x="6"/>
        <item x="2"/>
        <item x="10"/>
        <item x="11"/>
        <item x="18"/>
        <item x="0"/>
        <item x="14"/>
        <item x="9"/>
        <item x="1"/>
        <item t="default"/>
      </items>
    </pivotField>
    <pivotField compact="0" numFmtId="176" showAll="0">
      <items count="44">
        <item x="35"/>
        <item x="24"/>
        <item x="7"/>
        <item x="41"/>
        <item x="32"/>
        <item x="36"/>
        <item x="10"/>
        <item x="11"/>
        <item x="29"/>
        <item x="21"/>
        <item x="3"/>
        <item x="34"/>
        <item x="5"/>
        <item x="12"/>
        <item x="28"/>
        <item x="15"/>
        <item x="18"/>
        <item x="40"/>
        <item x="37"/>
        <item x="31"/>
        <item x="23"/>
        <item x="25"/>
        <item x="2"/>
        <item x="27"/>
        <item x="9"/>
        <item x="4"/>
        <item x="17"/>
        <item x="33"/>
        <item x="30"/>
        <item x="19"/>
        <item x="22"/>
        <item x="26"/>
        <item x="42"/>
        <item x="38"/>
        <item x="0"/>
        <item x="39"/>
        <item x="14"/>
        <item x="6"/>
        <item x="8"/>
        <item x="20"/>
        <item x="13"/>
        <item x="16"/>
        <item x="1"/>
        <item t="default"/>
      </items>
    </pivotField>
    <pivotField compact="0" numFmtId="177" showAll="0">
      <items count="43">
        <item x="34"/>
        <item x="23"/>
        <item x="7"/>
        <item x="40"/>
        <item x="35"/>
        <item x="31"/>
        <item x="11"/>
        <item x="28"/>
        <item x="3"/>
        <item x="10"/>
        <item x="33"/>
        <item x="20"/>
        <item x="15"/>
        <item x="5"/>
        <item x="36"/>
        <item x="12"/>
        <item x="27"/>
        <item x="22"/>
        <item x="39"/>
        <item x="26"/>
        <item x="2"/>
        <item x="29"/>
        <item x="24"/>
        <item x="30"/>
        <item x="9"/>
        <item x="18"/>
        <item x="17"/>
        <item x="25"/>
        <item x="4"/>
        <item x="32"/>
        <item x="21"/>
        <item x="0"/>
        <item x="14"/>
        <item x="41"/>
        <item x="37"/>
        <item x="38"/>
        <item x="6"/>
        <item x="8"/>
        <item x="19"/>
        <item x="13"/>
        <item x="16"/>
        <item x="1"/>
        <item t="default"/>
      </items>
    </pivotField>
    <pivotField compact="0" numFmtId="177" showAll="0">
      <items count="45">
        <item x="35"/>
        <item x="24"/>
        <item x="7"/>
        <item x="32"/>
        <item x="42"/>
        <item x="10"/>
        <item x="36"/>
        <item x="29"/>
        <item x="21"/>
        <item x="11"/>
        <item x="5"/>
        <item x="34"/>
        <item x="3"/>
        <item x="12"/>
        <item x="18"/>
        <item x="31"/>
        <item x="28"/>
        <item x="40"/>
        <item x="41"/>
        <item x="25"/>
        <item x="15"/>
        <item x="4"/>
        <item x="23"/>
        <item x="37"/>
        <item x="2"/>
        <item x="9"/>
        <item x="33"/>
        <item x="17"/>
        <item x="22"/>
        <item x="43"/>
        <item x="27"/>
        <item x="38"/>
        <item x="19"/>
        <item x="30"/>
        <item x="26"/>
        <item x="0"/>
        <item x="39"/>
        <item x="8"/>
        <item x="20"/>
        <item x="6"/>
        <item x="14"/>
        <item x="16"/>
        <item x="13"/>
        <item x="1"/>
        <item t="default"/>
      </items>
    </pivotField>
    <pivotField compact="0" numFmtId="58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20"/>
        <item x="21"/>
        <item x="22"/>
        <item x="23"/>
        <item x="24"/>
        <item x="25"/>
        <item x="26"/>
        <item x="55"/>
        <item x="56"/>
        <item x="57"/>
        <item x="58"/>
        <item x="5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axis="axisRow" compact="0" showAll="0">
      <items count="4">
        <item x="0"/>
        <item x="1"/>
        <item x="2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Hardware_Units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9:C23" firstHeaderRow="0" firstDataRow="1" firstDataCol="1"/>
  <pivotFields count="10">
    <pivotField compact="0" showAll="0">
      <items count="4">
        <item x="1"/>
        <item x="2"/>
        <item x="0"/>
        <item t="default"/>
      </items>
    </pivotField>
    <pivotField compact="0" showAll="0">
      <items count="17">
        <item h="1" x="15"/>
        <item h="1" x="0"/>
        <item h="1" x="1"/>
        <item h="1" x="2"/>
        <item h="1" x="3"/>
        <item h="1"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6">
        <item x="2"/>
        <item x="4"/>
        <item x="1"/>
        <item x="3"/>
        <item x="0"/>
        <item t="default"/>
      </items>
    </pivotField>
    <pivotField compact="0" numFmtId="3" showAll="0">
      <items count="22">
        <item x="17"/>
        <item x="5"/>
        <item x="15"/>
        <item x="12"/>
        <item x="4"/>
        <item x="8"/>
        <item x="13"/>
        <item x="19"/>
        <item x="7"/>
        <item x="20"/>
        <item x="16"/>
        <item x="3"/>
        <item x="6"/>
        <item x="2"/>
        <item x="10"/>
        <item x="11"/>
        <item x="18"/>
        <item x="0"/>
        <item x="14"/>
        <item x="9"/>
        <item x="1"/>
        <item t="default"/>
      </items>
    </pivotField>
    <pivotField dataField="1" compact="0" numFmtId="176" showAll="0">
      <items count="44">
        <item x="35"/>
        <item x="24"/>
        <item x="7"/>
        <item x="41"/>
        <item x="32"/>
        <item x="36"/>
        <item x="10"/>
        <item x="11"/>
        <item x="29"/>
        <item x="21"/>
        <item x="3"/>
        <item x="34"/>
        <item x="5"/>
        <item x="12"/>
        <item x="28"/>
        <item x="15"/>
        <item x="18"/>
        <item x="40"/>
        <item x="37"/>
        <item x="31"/>
        <item x="23"/>
        <item x="25"/>
        <item x="2"/>
        <item x="27"/>
        <item x="9"/>
        <item x="4"/>
        <item x="17"/>
        <item x="33"/>
        <item x="30"/>
        <item x="19"/>
        <item x="22"/>
        <item x="26"/>
        <item x="42"/>
        <item x="38"/>
        <item x="0"/>
        <item x="39"/>
        <item x="14"/>
        <item x="6"/>
        <item x="8"/>
        <item x="20"/>
        <item x="13"/>
        <item x="16"/>
        <item x="1"/>
        <item t="default"/>
      </items>
    </pivotField>
    <pivotField compact="0" numFmtId="177" showAll="0">
      <items count="43">
        <item x="34"/>
        <item x="23"/>
        <item x="7"/>
        <item x="40"/>
        <item x="35"/>
        <item x="31"/>
        <item x="11"/>
        <item x="28"/>
        <item x="3"/>
        <item x="10"/>
        <item x="33"/>
        <item x="20"/>
        <item x="15"/>
        <item x="5"/>
        <item x="36"/>
        <item x="12"/>
        <item x="27"/>
        <item x="22"/>
        <item x="39"/>
        <item x="26"/>
        <item x="2"/>
        <item x="29"/>
        <item x="24"/>
        <item x="30"/>
        <item x="9"/>
        <item x="18"/>
        <item x="17"/>
        <item x="25"/>
        <item x="4"/>
        <item x="32"/>
        <item x="21"/>
        <item x="0"/>
        <item x="14"/>
        <item x="41"/>
        <item x="37"/>
        <item x="38"/>
        <item x="6"/>
        <item x="8"/>
        <item x="19"/>
        <item x="13"/>
        <item x="16"/>
        <item x="1"/>
        <item t="default"/>
      </items>
    </pivotField>
    <pivotField dataField="1" compact="0" numFmtId="177" showAll="0">
      <items count="45">
        <item x="35"/>
        <item x="24"/>
        <item x="7"/>
        <item x="32"/>
        <item x="42"/>
        <item x="10"/>
        <item x="36"/>
        <item x="29"/>
        <item x="21"/>
        <item x="11"/>
        <item x="5"/>
        <item x="34"/>
        <item x="3"/>
        <item x="12"/>
        <item x="18"/>
        <item x="31"/>
        <item x="28"/>
        <item x="40"/>
        <item x="41"/>
        <item x="25"/>
        <item x="15"/>
        <item x="4"/>
        <item x="23"/>
        <item x="37"/>
        <item x="2"/>
        <item x="9"/>
        <item x="33"/>
        <item x="17"/>
        <item x="22"/>
        <item x="43"/>
        <item x="27"/>
        <item x="38"/>
        <item x="19"/>
        <item x="30"/>
        <item x="26"/>
        <item x="0"/>
        <item x="39"/>
        <item x="8"/>
        <item x="20"/>
        <item x="6"/>
        <item x="14"/>
        <item x="16"/>
        <item x="13"/>
        <item x="1"/>
        <item t="default"/>
      </items>
    </pivotField>
    <pivotField compact="0" numFmtId="58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20"/>
        <item x="21"/>
        <item x="22"/>
        <item x="23"/>
        <item x="24"/>
        <item x="25"/>
        <item x="26"/>
        <item x="55"/>
        <item x="56"/>
        <item x="57"/>
        <item x="58"/>
        <item x="5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axis="axisRow" compact="0" showAll="0">
      <items count="4">
        <item x="0"/>
        <item x="1"/>
        <item x="2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Revenue" fld="5" baseField="0" baseItem="0" numFmtId="3"/>
    <dataField name="Sum of Net_Profit" fld="7" baseField="0" baseItem="0" numFmtId="4"/>
  </dataFields>
  <formats count="21">
    <format dxfId="0">
      <pivotArea dataOnly="0" labelOnly="1" fieldPosition="0">
        <references count="1">
          <reference field="4294967294" count="1">
            <x v="0"/>
          </reference>
        </references>
      </pivotArea>
    </format>
    <format dxfId="1">
      <pivotArea dataOnly="0" labelOnly="1" fieldPosition="0">
        <references count="1">
          <reference field="4294967294" count="1">
            <x v="1"/>
          </reference>
        </references>
      </pivotArea>
    </format>
    <format dxfId="2">
      <pivotArea collapsedLevelsAreSubtotals="1" fieldPosition="0"/>
    </format>
    <format dxfId="3">
      <pivotArea dataOnly="0" labelOnly="1" fieldPosition="0">
        <references count="1">
          <reference field="4294967294" count="1">
            <x v="0"/>
          </reference>
        </references>
      </pivotArea>
    </format>
    <format dxfId="4">
      <pivotArea dataOnly="0" labelOnly="1" fieldPosition="0">
        <references count="1">
          <reference field="4294967294" count="1">
            <x v="1"/>
          </reference>
        </references>
      </pivotArea>
    </format>
    <format dxfId="5">
      <pivotArea collapsedLevelsAreSubtotals="1" fieldPosition="0"/>
    </format>
    <format dxfId="6">
      <pivotArea dataOnly="0" labelOnly="1" fieldPosition="0">
        <references count="1">
          <reference field="4294967294" count="1">
            <x v="0"/>
          </reference>
        </references>
      </pivotArea>
    </format>
    <format dxfId="7">
      <pivotArea dataOnly="0" labelOnly="1" fieldPosition="0">
        <references count="1">
          <reference field="4294967294" count="1">
            <x v="1"/>
          </reference>
        </references>
      </pivotArea>
    </format>
    <format dxfId="8">
      <pivotArea collapsedLevelsAreSubtotals="1" fieldPosition="0"/>
    </format>
    <format dxfId="9">
      <pivotArea dataOnly="0" labelOnly="1" fieldPosition="0">
        <references count="1">
          <reference field="4294967294" count="1">
            <x v="0"/>
          </reference>
        </references>
      </pivotArea>
    </format>
    <format dxfId="10">
      <pivotArea dataOnly="0" labelOnly="1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/>
    </format>
    <format dxfId="12">
      <pivotArea dataOnly="0" labelOnly="1" fieldPosition="0">
        <references count="1">
          <reference field="4294967294" count="1">
            <x v="0"/>
          </reference>
        </references>
      </pivotArea>
    </format>
    <format dxfId="13">
      <pivotArea dataOnly="0" labelOnly="1" fieldPosition="0">
        <references count="1">
          <reference field="4294967294" count="1">
            <x v="1"/>
          </reference>
        </references>
      </pivotArea>
    </format>
    <format dxfId="14">
      <pivotArea collapsedLevelsAreSubtotals="1" fieldPosition="0"/>
    </format>
    <format dxfId="15">
      <pivotArea dataOnly="0" labelOnly="1" fieldPosition="0">
        <references count="1">
          <reference field="4294967294" count="1">
            <x v="0"/>
          </reference>
        </references>
      </pivotArea>
    </format>
    <format dxfId="16">
      <pivotArea dataOnly="0" labelOnly="1" fieldPosition="0">
        <references count="1">
          <reference field="4294967294" count="1">
            <x v="1"/>
          </reference>
        </references>
      </pivotArea>
    </format>
    <format dxfId="17">
      <pivotArea collapsedLevelsAreSubtotals="1" fieldPosition="0"/>
    </format>
    <format dxfId="18">
      <pivotArea dataOnly="0" labelOnly="1" fieldPosition="0">
        <references count="1">
          <reference field="4294967294" count="1">
            <x v="0"/>
          </reference>
        </references>
      </pivotArea>
    </format>
    <format dxfId="19">
      <pivotArea dataOnly="0" labelOnly="1" fieldPosition="0">
        <references count="1">
          <reference field="4294967294" count="1">
            <x v="1"/>
          </reference>
        </references>
      </pivotArea>
    </format>
    <format dxfId="20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6:B30" firstHeaderRow="1" firstDataRow="1" firstDataCol="1"/>
  <pivotFields count="10">
    <pivotField compact="0" showAll="0">
      <items count="4">
        <item x="1"/>
        <item x="2"/>
        <item x="0"/>
        <item t="default"/>
      </items>
    </pivotField>
    <pivotField compact="0" showAll="0">
      <items count="17">
        <item h="1" x="15"/>
        <item h="1" x="0"/>
        <item h="1" x="1"/>
        <item h="1" x="2"/>
        <item h="1" x="3"/>
        <item h="1"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compact="0" showAll="0">
      <items count="6">
        <item x="2"/>
        <item x="4"/>
        <item x="1"/>
        <item x="3"/>
        <item x="0"/>
        <item t="default"/>
      </items>
    </pivotField>
    <pivotField compact="0" numFmtId="3" showAll="0">
      <items count="22">
        <item x="17"/>
        <item x="5"/>
        <item x="15"/>
        <item x="12"/>
        <item x="4"/>
        <item x="8"/>
        <item x="13"/>
        <item x="19"/>
        <item x="7"/>
        <item x="20"/>
        <item x="16"/>
        <item x="3"/>
        <item x="6"/>
        <item x="2"/>
        <item x="10"/>
        <item x="11"/>
        <item x="18"/>
        <item x="0"/>
        <item x="14"/>
        <item x="9"/>
        <item x="1"/>
        <item t="default"/>
      </items>
    </pivotField>
    <pivotField dataField="1" compact="0" numFmtId="176" showAll="0">
      <items count="44">
        <item x="35"/>
        <item x="24"/>
        <item x="7"/>
        <item x="41"/>
        <item x="32"/>
        <item x="36"/>
        <item x="10"/>
        <item x="11"/>
        <item x="29"/>
        <item x="21"/>
        <item x="3"/>
        <item x="34"/>
        <item x="5"/>
        <item x="12"/>
        <item x="28"/>
        <item x="15"/>
        <item x="18"/>
        <item x="40"/>
        <item x="37"/>
        <item x="31"/>
        <item x="23"/>
        <item x="25"/>
        <item x="2"/>
        <item x="27"/>
        <item x="9"/>
        <item x="4"/>
        <item x="17"/>
        <item x="33"/>
        <item x="30"/>
        <item x="19"/>
        <item x="22"/>
        <item x="26"/>
        <item x="42"/>
        <item x="38"/>
        <item x="0"/>
        <item x="39"/>
        <item x="14"/>
        <item x="6"/>
        <item x="8"/>
        <item x="20"/>
        <item x="13"/>
        <item x="16"/>
        <item x="1"/>
        <item t="default"/>
      </items>
    </pivotField>
    <pivotField compact="0" numFmtId="177" showAll="0">
      <items count="43">
        <item x="34"/>
        <item x="23"/>
        <item x="7"/>
        <item x="40"/>
        <item x="35"/>
        <item x="31"/>
        <item x="11"/>
        <item x="28"/>
        <item x="3"/>
        <item x="10"/>
        <item x="33"/>
        <item x="20"/>
        <item x="15"/>
        <item x="5"/>
        <item x="36"/>
        <item x="12"/>
        <item x="27"/>
        <item x="22"/>
        <item x="39"/>
        <item x="26"/>
        <item x="2"/>
        <item x="29"/>
        <item x="24"/>
        <item x="30"/>
        <item x="9"/>
        <item x="18"/>
        <item x="17"/>
        <item x="25"/>
        <item x="4"/>
        <item x="32"/>
        <item x="21"/>
        <item x="0"/>
        <item x="14"/>
        <item x="41"/>
        <item x="37"/>
        <item x="38"/>
        <item x="6"/>
        <item x="8"/>
        <item x="19"/>
        <item x="13"/>
        <item x="16"/>
        <item x="1"/>
        <item t="default"/>
      </items>
    </pivotField>
    <pivotField compact="0" numFmtId="177" showAll="0">
      <items count="45">
        <item x="35"/>
        <item x="24"/>
        <item x="7"/>
        <item x="32"/>
        <item x="42"/>
        <item x="10"/>
        <item x="36"/>
        <item x="29"/>
        <item x="21"/>
        <item x="11"/>
        <item x="5"/>
        <item x="34"/>
        <item x="3"/>
        <item x="12"/>
        <item x="18"/>
        <item x="31"/>
        <item x="28"/>
        <item x="40"/>
        <item x="41"/>
        <item x="25"/>
        <item x="15"/>
        <item x="4"/>
        <item x="23"/>
        <item x="37"/>
        <item x="2"/>
        <item x="9"/>
        <item x="33"/>
        <item x="17"/>
        <item x="22"/>
        <item x="43"/>
        <item x="27"/>
        <item x="38"/>
        <item x="19"/>
        <item x="30"/>
        <item x="26"/>
        <item x="0"/>
        <item x="39"/>
        <item x="8"/>
        <item x="20"/>
        <item x="6"/>
        <item x="14"/>
        <item x="16"/>
        <item x="13"/>
        <item x="1"/>
        <item t="default"/>
      </items>
    </pivotField>
    <pivotField compact="0" numFmtId="58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20"/>
        <item x="21"/>
        <item x="22"/>
        <item x="23"/>
        <item x="24"/>
        <item x="25"/>
        <item x="26"/>
        <item x="55"/>
        <item x="56"/>
        <item x="57"/>
        <item x="58"/>
        <item x="5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Revenue" fld="5" showDataAs="percentOfCol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3:B44" firstHeaderRow="1" firstDataRow="1" firstDataCol="1"/>
  <pivotFields count="10">
    <pivotField compact="0" showAll="0">
      <items count="4">
        <item x="1"/>
        <item x="2"/>
        <item x="0"/>
        <item t="default"/>
      </items>
    </pivotField>
    <pivotField axis="axisRow" compact="0" sortType="descending" showAll="0">
      <items count="17">
        <item h="1" x="15"/>
        <item h="1" x="0"/>
        <item h="1" x="1"/>
        <item h="1" x="2"/>
        <item h="1" x="3"/>
        <item h="1"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4">
        <item x="2"/>
        <item x="1"/>
        <item x="0"/>
        <item t="default"/>
      </items>
    </pivotField>
    <pivotField compact="0" showAll="0">
      <items count="6">
        <item x="2"/>
        <item x="4"/>
        <item x="1"/>
        <item x="3"/>
        <item x="0"/>
        <item t="default"/>
      </items>
    </pivotField>
    <pivotField compact="0" numFmtId="3" showAll="0">
      <items count="22">
        <item x="17"/>
        <item x="5"/>
        <item x="15"/>
        <item x="12"/>
        <item x="4"/>
        <item x="8"/>
        <item x="13"/>
        <item x="19"/>
        <item x="7"/>
        <item x="20"/>
        <item x="16"/>
        <item x="3"/>
        <item x="6"/>
        <item x="2"/>
        <item x="10"/>
        <item x="11"/>
        <item x="18"/>
        <item x="0"/>
        <item x="14"/>
        <item x="9"/>
        <item x="1"/>
        <item t="default"/>
      </items>
    </pivotField>
    <pivotField compact="0" numFmtId="176" showAll="0">
      <items count="44">
        <item x="35"/>
        <item x="24"/>
        <item x="7"/>
        <item x="41"/>
        <item x="32"/>
        <item x="36"/>
        <item x="10"/>
        <item x="11"/>
        <item x="29"/>
        <item x="21"/>
        <item x="3"/>
        <item x="34"/>
        <item x="5"/>
        <item x="12"/>
        <item x="28"/>
        <item x="15"/>
        <item x="18"/>
        <item x="40"/>
        <item x="37"/>
        <item x="31"/>
        <item x="23"/>
        <item x="25"/>
        <item x="2"/>
        <item x="27"/>
        <item x="9"/>
        <item x="4"/>
        <item x="17"/>
        <item x="33"/>
        <item x="30"/>
        <item x="19"/>
        <item x="22"/>
        <item x="26"/>
        <item x="42"/>
        <item x="38"/>
        <item x="0"/>
        <item x="39"/>
        <item x="14"/>
        <item x="6"/>
        <item x="8"/>
        <item x="20"/>
        <item x="13"/>
        <item x="16"/>
        <item x="1"/>
        <item t="default"/>
      </items>
    </pivotField>
    <pivotField compact="0" numFmtId="177" showAll="0">
      <items count="43">
        <item x="34"/>
        <item x="23"/>
        <item x="7"/>
        <item x="40"/>
        <item x="35"/>
        <item x="31"/>
        <item x="11"/>
        <item x="28"/>
        <item x="3"/>
        <item x="10"/>
        <item x="33"/>
        <item x="20"/>
        <item x="15"/>
        <item x="5"/>
        <item x="36"/>
        <item x="12"/>
        <item x="27"/>
        <item x="22"/>
        <item x="39"/>
        <item x="26"/>
        <item x="2"/>
        <item x="29"/>
        <item x="24"/>
        <item x="30"/>
        <item x="9"/>
        <item x="18"/>
        <item x="17"/>
        <item x="25"/>
        <item x="4"/>
        <item x="32"/>
        <item x="21"/>
        <item x="0"/>
        <item x="14"/>
        <item x="41"/>
        <item x="37"/>
        <item x="38"/>
        <item x="6"/>
        <item x="8"/>
        <item x="19"/>
        <item x="13"/>
        <item x="16"/>
        <item x="1"/>
        <item t="default"/>
      </items>
    </pivotField>
    <pivotField dataField="1" compact="0" numFmtId="177" showAll="0">
      <items count="45">
        <item x="35"/>
        <item x="24"/>
        <item x="7"/>
        <item x="32"/>
        <item x="42"/>
        <item x="10"/>
        <item x="36"/>
        <item x="29"/>
        <item x="21"/>
        <item x="11"/>
        <item x="5"/>
        <item x="34"/>
        <item x="3"/>
        <item x="12"/>
        <item x="18"/>
        <item x="31"/>
        <item x="28"/>
        <item x="40"/>
        <item x="41"/>
        <item x="25"/>
        <item x="15"/>
        <item x="4"/>
        <item x="23"/>
        <item x="37"/>
        <item x="2"/>
        <item x="9"/>
        <item x="33"/>
        <item x="17"/>
        <item x="22"/>
        <item x="43"/>
        <item x="27"/>
        <item x="38"/>
        <item x="19"/>
        <item x="30"/>
        <item x="26"/>
        <item x="0"/>
        <item x="39"/>
        <item x="8"/>
        <item x="20"/>
        <item x="6"/>
        <item x="14"/>
        <item x="16"/>
        <item x="13"/>
        <item x="1"/>
        <item t="default"/>
      </items>
    </pivotField>
    <pivotField compact="0" numFmtId="58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20"/>
        <item x="21"/>
        <item x="22"/>
        <item x="23"/>
        <item x="24"/>
        <item x="25"/>
        <item x="26"/>
        <item x="55"/>
        <item x="56"/>
        <item x="57"/>
        <item x="58"/>
        <item x="5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1"/>
  </rowFields>
  <rowItems count="11">
    <i>
      <x v="7"/>
    </i>
    <i>
      <x v="9"/>
    </i>
    <i>
      <x v="10"/>
    </i>
    <i>
      <x v="11"/>
    </i>
    <i>
      <x v="14"/>
    </i>
    <i>
      <x v="12"/>
    </i>
    <i>
      <x v="6"/>
    </i>
    <i>
      <x v="8"/>
    </i>
    <i>
      <x v="15"/>
    </i>
    <i>
      <x v="13"/>
    </i>
    <i t="grand">
      <x/>
    </i>
  </rowItems>
  <colItems count="1">
    <i/>
  </colItems>
  <dataFields count="1">
    <dataField name="Sum of Net_Profit" fld="7" baseField="1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7:C53" firstHeaderRow="0" firstDataRow="1" firstDataCol="1"/>
  <pivotFields count="10">
    <pivotField compact="0" showAll="0">
      <items count="4">
        <item x="1"/>
        <item x="2"/>
        <item x="0"/>
        <item t="default"/>
      </items>
    </pivotField>
    <pivotField compact="0" showAll="0">
      <items count="17">
        <item h="1" x="15"/>
        <item h="1" x="0"/>
        <item h="1" x="1"/>
        <item h="1" x="2"/>
        <item h="1" x="3"/>
        <item h="1"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4">
        <item x="2"/>
        <item x="1"/>
        <item x="0"/>
        <item t="default"/>
      </items>
    </pivotField>
    <pivotField axis="axisRow" compact="0" showAll="0">
      <items count="6">
        <item x="2"/>
        <item x="4"/>
        <item x="1"/>
        <item x="3"/>
        <item x="0"/>
        <item t="default"/>
      </items>
    </pivotField>
    <pivotField compact="0" numFmtId="3" showAll="0">
      <items count="22">
        <item x="17"/>
        <item x="5"/>
        <item x="15"/>
        <item x="12"/>
        <item x="4"/>
        <item x="8"/>
        <item x="13"/>
        <item x="19"/>
        <item x="7"/>
        <item x="20"/>
        <item x="16"/>
        <item x="3"/>
        <item x="6"/>
        <item x="2"/>
        <item x="10"/>
        <item x="11"/>
        <item x="18"/>
        <item x="0"/>
        <item x="14"/>
        <item x="9"/>
        <item x="1"/>
        <item t="default"/>
      </items>
    </pivotField>
    <pivotField compact="0" numFmtId="176" showAll="0">
      <items count="44">
        <item x="35"/>
        <item x="24"/>
        <item x="7"/>
        <item x="41"/>
        <item x="32"/>
        <item x="36"/>
        <item x="10"/>
        <item x="11"/>
        <item x="29"/>
        <item x="21"/>
        <item x="3"/>
        <item x="34"/>
        <item x="5"/>
        <item x="12"/>
        <item x="28"/>
        <item x="15"/>
        <item x="18"/>
        <item x="40"/>
        <item x="37"/>
        <item x="31"/>
        <item x="23"/>
        <item x="25"/>
        <item x="2"/>
        <item x="27"/>
        <item x="9"/>
        <item x="4"/>
        <item x="17"/>
        <item x="33"/>
        <item x="30"/>
        <item x="19"/>
        <item x="22"/>
        <item x="26"/>
        <item x="42"/>
        <item x="38"/>
        <item x="0"/>
        <item x="39"/>
        <item x="14"/>
        <item x="6"/>
        <item x="8"/>
        <item x="20"/>
        <item x="13"/>
        <item x="16"/>
        <item x="1"/>
        <item t="default"/>
      </items>
    </pivotField>
    <pivotField dataField="1" compact="0" numFmtId="177" showAll="0">
      <items count="43">
        <item x="34"/>
        <item x="23"/>
        <item x="7"/>
        <item x="40"/>
        <item x="35"/>
        <item x="31"/>
        <item x="11"/>
        <item x="28"/>
        <item x="3"/>
        <item x="10"/>
        <item x="33"/>
        <item x="20"/>
        <item x="15"/>
        <item x="5"/>
        <item x="36"/>
        <item x="12"/>
        <item x="27"/>
        <item x="22"/>
        <item x="39"/>
        <item x="26"/>
        <item x="2"/>
        <item x="29"/>
        <item x="24"/>
        <item x="30"/>
        <item x="9"/>
        <item x="18"/>
        <item x="17"/>
        <item x="25"/>
        <item x="4"/>
        <item x="32"/>
        <item x="21"/>
        <item x="0"/>
        <item x="14"/>
        <item x="41"/>
        <item x="37"/>
        <item x="38"/>
        <item x="6"/>
        <item x="8"/>
        <item x="19"/>
        <item x="13"/>
        <item x="16"/>
        <item x="1"/>
        <item t="default"/>
      </items>
    </pivotField>
    <pivotField dataField="1" compact="0" numFmtId="177" showAll="0">
      <items count="45">
        <item x="35"/>
        <item x="24"/>
        <item x="7"/>
        <item x="32"/>
        <item x="42"/>
        <item x="10"/>
        <item x="36"/>
        <item x="29"/>
        <item x="21"/>
        <item x="11"/>
        <item x="5"/>
        <item x="34"/>
        <item x="3"/>
        <item x="12"/>
        <item x="18"/>
        <item x="31"/>
        <item x="28"/>
        <item x="40"/>
        <item x="41"/>
        <item x="25"/>
        <item x="15"/>
        <item x="4"/>
        <item x="23"/>
        <item x="37"/>
        <item x="2"/>
        <item x="9"/>
        <item x="33"/>
        <item x="17"/>
        <item x="22"/>
        <item x="43"/>
        <item x="27"/>
        <item x="38"/>
        <item x="19"/>
        <item x="30"/>
        <item x="26"/>
        <item x="0"/>
        <item x="39"/>
        <item x="8"/>
        <item x="20"/>
        <item x="6"/>
        <item x="14"/>
        <item x="16"/>
        <item x="13"/>
        <item x="1"/>
        <item t="default"/>
      </items>
    </pivotField>
    <pivotField compact="0" numFmtId="58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20"/>
        <item x="21"/>
        <item x="22"/>
        <item x="23"/>
        <item x="24"/>
        <item x="25"/>
        <item x="26"/>
        <item x="55"/>
        <item x="56"/>
        <item x="57"/>
        <item x="58"/>
        <item x="5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_Profit" fld="7" baseField="0" baseItem="0"/>
    <dataField name="Sum of Manufacturing_Cost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Hub_Region" sourceName="Hub_Region">
  <pivotTables>
    <pivotTable tabId="3" name="PivotTable12"/>
  </pivotTables>
  <data>
    <tabular pivotCacheId="1">
      <items count="3">
        <i x="1" s="1"/>
        <i x="2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nsultant" sourceName="Consultant">
  <pivotTables>
    <pivotTable tabId="3" name="PivotTable12"/>
    <pivotTable tabId="3" name="PivotTable9"/>
    <pivotTable tabId="3" name="PivotTable10"/>
    <pivotTable tabId="3" name="PivotTable11"/>
    <pivotTable tabId="3" name="PivotTable13"/>
    <pivotTable tabId="3" name="PivotTable14"/>
  </pivotTables>
  <data>
    <tabular pivotCacheId="1">
      <items count="16">
        <i x="15" s="0"/>
        <i x="0" s="0"/>
        <i x="1" s="0"/>
        <i x="2" s="0"/>
        <i x="3" s="0"/>
        <i x="4" s="0"/>
        <i x="5" s="1"/>
        <i x="6" s="1"/>
        <i x="7" s="1"/>
        <i x="8" s="1"/>
        <i x="9" s="1"/>
        <i x="10" s="1"/>
        <i x="11" s="1"/>
        <i x="12" s="1"/>
        <i x="13" s="1"/>
        <i x="14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Hub_Region1" sourceName="Hub_Region">
  <pivotTables>
    <pivotTable tabId="3" name="PivotTable9"/>
  </pivotTables>
  <data>
    <tabular pivotCacheId="1">
      <items count="3">
        <i x="1" s="1"/>
        <i x="2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Hub_Region" cache="Slicer_Hub_Region" caption="Hub_Region" rowHeight="225425"/>
  <slicer name="Consultant" cache="Slicer_Consultant" caption="Consultant" startItem="1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Hub_Region 1" cache="Slicer_Hub_Region1" caption="Hub_Region" rowHeight="225425"/>
  <slicer name="Consultant 2" cache="Slicer_Consultant" caption="Consultant" startItem="6" rowHeight="225425"/>
</slicers>
</file>

<file path=xl/tables/table1.xml><?xml version="1.0" encoding="utf-8"?>
<table xmlns="http://schemas.openxmlformats.org/spreadsheetml/2006/main" id="1" name="Table1" displayName="Table1" ref="A1:J61" totalsRowShown="0">
  <autoFilter xmlns:etc="http://www.wps.cn/officeDocument/2017/etCustomData" ref="A1:J61" etc:filterBottomFollowUsedRange="0"/>
  <tableColumns count="10">
    <tableColumn id="1" name="Hub_Region" dataDxfId="21"/>
    <tableColumn id="2" name="Consultant" dataDxfId="22"/>
    <tableColumn id="3" name="Corporate_Client_Tier" dataDxfId="23"/>
    <tableColumn id="4" name="Device_Category" dataDxfId="24"/>
    <tableColumn id="5" name="Hardware_Units" dataDxfId="25"/>
    <tableColumn id="6" name="Total_Revenue" dataDxfId="26"/>
    <tableColumn id="7" name="Manufacturing_Cost" dataDxfId="27"/>
    <tableColumn id="8" name="Net_Profit" dataDxfId="28"/>
    <tableColumn id="9" name="Order_Date" dataDxfId="29"/>
    <tableColumn id="10" name="Order_Month" dataDxfId="30">
      <calculatedColumnFormula>TEXT(I2,"MMMM")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8"/>
  <sheetViews>
    <sheetView topLeftCell="B11" workbookViewId="0">
      <selection activeCell="G7" sqref="G7"/>
    </sheetView>
  </sheetViews>
  <sheetFormatPr defaultColWidth="9" defaultRowHeight="15" outlineLevelCol="4"/>
  <cols>
    <col min="1" max="1" width="2.95238095238095" customWidth="1"/>
    <col min="2" max="2" width="101.857142857143" customWidth="1"/>
    <col min="3" max="3" width="34.9714285714286" customWidth="1"/>
    <col min="4" max="4" width="39.9523809523809" customWidth="1"/>
    <col min="5" max="5" width="30" customWidth="1"/>
  </cols>
  <sheetData>
    <row r="2" ht="16.5" spans="2:5">
      <c r="B2" s="34" t="s">
        <v>0</v>
      </c>
    </row>
    <row r="3" ht="25.5" spans="2:5">
      <c r="B3" s="35" t="s">
        <v>1</v>
      </c>
    </row>
    <row r="4" ht="16.5" spans="2:5">
      <c r="B4" s="36" t="s">
        <v>2</v>
      </c>
    </row>
    <row r="6" ht="17.25" spans="2:5">
      <c r="B6" s="37" t="s">
        <v>3</v>
      </c>
    </row>
    <row r="7" ht="54.95" customHeight="1" spans="2:5">
      <c r="B7" s="38" t="s">
        <v>4</v>
      </c>
      <c r="C7" s="38"/>
      <c r="D7" s="38"/>
      <c r="E7" s="38"/>
    </row>
    <row r="9" ht="17.25" spans="2:5">
      <c r="B9" s="39" t="s">
        <v>5</v>
      </c>
      <c r="C9" s="40" t="s">
        <v>6</v>
      </c>
      <c r="D9" s="40" t="s">
        <v>7</v>
      </c>
      <c r="E9" s="40" t="s">
        <v>8</v>
      </c>
    </row>
    <row r="10" ht="54.95" customHeight="1" spans="2:5">
      <c r="B10" s="41" t="s">
        <v>9</v>
      </c>
      <c r="C10" s="42" t="s">
        <v>10</v>
      </c>
      <c r="D10" s="42" t="s">
        <v>11</v>
      </c>
      <c r="E10" s="42" t="s">
        <v>12</v>
      </c>
    </row>
    <row r="11" ht="54.95" customHeight="1" spans="2:5">
      <c r="B11" s="43" t="s">
        <v>13</v>
      </c>
      <c r="C11" s="44" t="s">
        <v>14</v>
      </c>
      <c r="D11" s="44" t="s">
        <v>15</v>
      </c>
      <c r="E11" s="44" t="s">
        <v>16</v>
      </c>
    </row>
    <row r="12" ht="54.95" customHeight="1" spans="2:5">
      <c r="B12" s="41" t="s">
        <v>17</v>
      </c>
      <c r="C12" s="42" t="s">
        <v>18</v>
      </c>
      <c r="D12" s="42" t="s">
        <v>19</v>
      </c>
      <c r="E12" s="42" t="s">
        <v>20</v>
      </c>
    </row>
    <row r="13" ht="54.95" customHeight="1" spans="2:5">
      <c r="B13" s="43" t="s">
        <v>21</v>
      </c>
      <c r="C13" s="44" t="s">
        <v>22</v>
      </c>
      <c r="D13" s="44" t="s">
        <v>23</v>
      </c>
      <c r="E13" s="44" t="s">
        <v>24</v>
      </c>
    </row>
    <row r="14" ht="54.95" customHeight="1" spans="2:5">
      <c r="B14" s="41" t="s">
        <v>25</v>
      </c>
      <c r="C14" s="42" t="s">
        <v>26</v>
      </c>
      <c r="D14" s="42" t="s">
        <v>27</v>
      </c>
      <c r="E14" s="42" t="s">
        <v>28</v>
      </c>
    </row>
    <row r="15" ht="54.95" customHeight="1" spans="2:5">
      <c r="B15" s="43" t="s">
        <v>29</v>
      </c>
      <c r="C15" s="44" t="s">
        <v>30</v>
      </c>
      <c r="D15" s="44" t="s">
        <v>31</v>
      </c>
      <c r="E15" s="44" t="s">
        <v>32</v>
      </c>
    </row>
    <row r="16" ht="54.95" customHeight="1" spans="2:5">
      <c r="B16" s="41" t="s">
        <v>33</v>
      </c>
      <c r="C16" s="42" t="s">
        <v>34</v>
      </c>
      <c r="D16" s="42" t="s">
        <v>35</v>
      </c>
      <c r="E16" s="42" t="s">
        <v>36</v>
      </c>
    </row>
    <row r="18" ht="35.1" customHeight="1" spans="2:2">
      <c r="B18" s="45" t="s">
        <v>37</v>
      </c>
    </row>
  </sheetData>
  <mergeCells count="1">
    <mergeCell ref="B7:E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zoomScale="70" zoomScaleNormal="70" topLeftCell="C21" workbookViewId="0">
      <selection activeCell="X33" sqref="X33"/>
    </sheetView>
  </sheetViews>
  <sheetFormatPr defaultColWidth="9.14285714285714" defaultRowHeight="15" outlineLevelCol="6"/>
  <cols>
    <col min="1" max="1" width="21.5714285714286"/>
    <col min="2" max="3" width="27.8571428571429"/>
    <col min="4" max="6" width="21.5714285714286"/>
    <col min="7" max="7" width="11.8571428571429"/>
  </cols>
  <sheetData>
    <row r="1" spans="1:7">
      <c r="A1" t="s">
        <v>38</v>
      </c>
      <c r="B1" t="s">
        <v>39</v>
      </c>
    </row>
    <row r="2" spans="1:7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</row>
    <row r="3" spans="1:7">
      <c r="A3" t="s">
        <v>47</v>
      </c>
      <c r="B3">
        <v>1395000</v>
      </c>
      <c r="C3">
        <v>3402000</v>
      </c>
      <c r="D3">
        <v>2820000</v>
      </c>
      <c r="E3">
        <v>1722500</v>
      </c>
      <c r="F3">
        <v>470250</v>
      </c>
      <c r="G3">
        <v>9809750</v>
      </c>
    </row>
    <row r="4" spans="1:7">
      <c r="A4" t="s">
        <v>48</v>
      </c>
      <c r="B4">
        <v>1125000</v>
      </c>
      <c r="C4">
        <v>2430000</v>
      </c>
      <c r="D4">
        <v>1740000</v>
      </c>
      <c r="E4">
        <v>1397500</v>
      </c>
      <c r="F4">
        <v>1619750</v>
      </c>
      <c r="G4">
        <v>8312250</v>
      </c>
    </row>
    <row r="5" spans="1:7">
      <c r="A5" t="s">
        <v>49</v>
      </c>
      <c r="B5">
        <v>1935000</v>
      </c>
      <c r="C5">
        <v>2916000</v>
      </c>
      <c r="D5">
        <v>1500000</v>
      </c>
      <c r="E5">
        <v>552500</v>
      </c>
      <c r="F5">
        <v>1567500</v>
      </c>
      <c r="G5">
        <v>8471000</v>
      </c>
    </row>
    <row r="6" spans="1:7">
      <c r="A6" t="s">
        <v>46</v>
      </c>
      <c r="B6">
        <v>4455000</v>
      </c>
      <c r="C6">
        <v>8748000</v>
      </c>
      <c r="D6">
        <v>6060000</v>
      </c>
      <c r="E6">
        <v>3672500</v>
      </c>
      <c r="F6">
        <v>3657500</v>
      </c>
      <c r="G6">
        <v>26593000</v>
      </c>
    </row>
    <row r="9" spans="1:7">
      <c r="A9" t="s">
        <v>50</v>
      </c>
      <c r="B9" t="s">
        <v>51</v>
      </c>
    </row>
    <row r="10" spans="1:7">
      <c r="A10" t="s">
        <v>52</v>
      </c>
      <c r="B10">
        <v>134</v>
      </c>
    </row>
    <row r="11" spans="1:7">
      <c r="A11" t="s">
        <v>53</v>
      </c>
      <c r="B11">
        <v>192</v>
      </c>
    </row>
    <row r="12" spans="1:7">
      <c r="A12" t="s">
        <v>54</v>
      </c>
      <c r="B12">
        <v>165</v>
      </c>
    </row>
    <row r="13" spans="1:7">
      <c r="A13" t="s">
        <v>46</v>
      </c>
      <c r="B13">
        <v>491</v>
      </c>
    </row>
    <row r="19" spans="1:3">
      <c r="A19" t="s">
        <v>50</v>
      </c>
      <c r="B19" s="32" t="s">
        <v>55</v>
      </c>
      <c r="C19" s="32" t="s">
        <v>38</v>
      </c>
    </row>
    <row r="20" spans="1:3">
      <c r="A20" t="s">
        <v>52</v>
      </c>
      <c r="B20" s="32">
        <v>13925000</v>
      </c>
      <c r="C20" s="32">
        <v>7242000</v>
      </c>
    </row>
    <row r="21" spans="1:3">
      <c r="A21" t="s">
        <v>53</v>
      </c>
      <c r="B21" s="32">
        <v>19025000</v>
      </c>
      <c r="C21" s="32">
        <v>10006000</v>
      </c>
    </row>
    <row r="22" spans="1:3">
      <c r="A22" t="s">
        <v>54</v>
      </c>
      <c r="B22" s="32">
        <v>18335000</v>
      </c>
      <c r="C22" s="32">
        <v>9345000</v>
      </c>
    </row>
    <row r="23" spans="1:3">
      <c r="A23" t="s">
        <v>46</v>
      </c>
      <c r="B23" s="32">
        <v>51285000</v>
      </c>
      <c r="C23" s="32">
        <v>26593000</v>
      </c>
    </row>
    <row r="26" spans="1:3">
      <c r="A26" t="s">
        <v>56</v>
      </c>
      <c r="B26" t="s">
        <v>55</v>
      </c>
    </row>
    <row r="27" spans="1:3">
      <c r="A27" t="s">
        <v>57</v>
      </c>
      <c r="B27" s="33">
        <v>0.400799454031393</v>
      </c>
    </row>
    <row r="28" spans="1:3">
      <c r="A28" t="s">
        <v>58</v>
      </c>
      <c r="B28" s="33">
        <v>0.186116798284099</v>
      </c>
    </row>
    <row r="29" spans="1:3">
      <c r="A29" t="s">
        <v>59</v>
      </c>
      <c r="B29" s="33">
        <v>0.413083747684508</v>
      </c>
    </row>
    <row r="30" spans="1:3">
      <c r="A30" t="s">
        <v>46</v>
      </c>
      <c r="B30" s="33">
        <v>1</v>
      </c>
    </row>
    <row r="33" spans="1:3">
      <c r="A33" t="s">
        <v>60</v>
      </c>
      <c r="B33" t="s">
        <v>38</v>
      </c>
    </row>
    <row r="34" spans="1:3">
      <c r="A34" t="s">
        <v>61</v>
      </c>
      <c r="B34">
        <v>1</v>
      </c>
    </row>
    <row r="35" spans="1:3">
      <c r="A35" t="s">
        <v>62</v>
      </c>
      <c r="B35">
        <v>2</v>
      </c>
    </row>
    <row r="36" spans="1:3">
      <c r="A36" t="s">
        <v>63</v>
      </c>
      <c r="B36">
        <v>3</v>
      </c>
    </row>
    <row r="37" spans="1:3">
      <c r="A37" t="s">
        <v>64</v>
      </c>
      <c r="B37">
        <v>4</v>
      </c>
    </row>
    <row r="38" spans="1:3">
      <c r="A38" t="s">
        <v>65</v>
      </c>
      <c r="B38">
        <v>5</v>
      </c>
    </row>
    <row r="39" spans="1:3">
      <c r="A39" t="s">
        <v>66</v>
      </c>
      <c r="B39">
        <v>6</v>
      </c>
    </row>
    <row r="40" spans="1:3">
      <c r="A40" t="s">
        <v>67</v>
      </c>
      <c r="B40">
        <v>7</v>
      </c>
    </row>
    <row r="41" spans="1:3">
      <c r="A41" t="s">
        <v>68</v>
      </c>
      <c r="B41">
        <v>8</v>
      </c>
    </row>
    <row r="42" spans="1:3">
      <c r="A42" t="s">
        <v>69</v>
      </c>
      <c r="B42">
        <v>9</v>
      </c>
    </row>
    <row r="43" spans="1:3">
      <c r="A43" t="s">
        <v>70</v>
      </c>
      <c r="B43">
        <v>10</v>
      </c>
    </row>
    <row r="44" spans="1:3">
      <c r="A44" t="s">
        <v>46</v>
      </c>
    </row>
    <row r="47" spans="1:3">
      <c r="A47" t="s">
        <v>39</v>
      </c>
      <c r="B47" t="s">
        <v>38</v>
      </c>
      <c r="C47" t="s">
        <v>71</v>
      </c>
    </row>
    <row r="48" spans="1:3">
      <c r="A48" t="s">
        <v>41</v>
      </c>
      <c r="B48">
        <v>4455000</v>
      </c>
      <c r="C48">
        <v>2970000</v>
      </c>
    </row>
    <row r="49" spans="1:3">
      <c r="A49" t="s">
        <v>42</v>
      </c>
      <c r="B49">
        <v>8748000</v>
      </c>
      <c r="C49">
        <v>10692000</v>
      </c>
    </row>
    <row r="50" spans="1:3">
      <c r="A50" t="s">
        <v>43</v>
      </c>
      <c r="B50">
        <v>6060000</v>
      </c>
      <c r="C50">
        <v>6060000</v>
      </c>
    </row>
    <row r="51" spans="1:3">
      <c r="A51" t="s">
        <v>44</v>
      </c>
      <c r="B51">
        <v>3672500</v>
      </c>
      <c r="C51">
        <v>1977500</v>
      </c>
    </row>
    <row r="52" spans="1:3">
      <c r="A52" t="s">
        <v>45</v>
      </c>
      <c r="B52">
        <v>3657500</v>
      </c>
      <c r="C52">
        <v>2992500</v>
      </c>
    </row>
    <row r="53" spans="1:3">
      <c r="A53" t="s">
        <v>46</v>
      </c>
      <c r="B53">
        <v>26593000</v>
      </c>
      <c r="C53">
        <v>24692000</v>
      </c>
    </row>
  </sheetData>
  <pageMargins left="0.75" right="0.75" top="1" bottom="1" header="0.5" footer="0.5"/>
  <headerFooter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"/>
  <sheetViews>
    <sheetView workbookViewId="0">
      <selection activeCell="F2" sqref="F2"/>
    </sheetView>
  </sheetViews>
  <sheetFormatPr defaultColWidth="9" defaultRowHeight="15"/>
  <cols>
    <col min="1" max="1" width="20.9809523809524" customWidth="1"/>
    <col min="2" max="2" width="22.0571428571429" customWidth="1"/>
    <col min="3" max="3" width="25.0190476190476" customWidth="1"/>
    <col min="4" max="4" width="23" customWidth="1"/>
    <col min="5" max="5" width="18.0190476190476" customWidth="1"/>
    <col min="6" max="6" width="20.047619047619" customWidth="1"/>
    <col min="7" max="7" width="23.1428571428571" customWidth="1"/>
    <col min="8" max="8" width="12.1428571428571" customWidth="1"/>
    <col min="9" max="9" width="13.1428571428571" customWidth="1"/>
    <col min="10" max="10" width="15.4285714285714" customWidth="1"/>
  </cols>
  <sheetData>
    <row r="1" ht="17.25" spans="1:10">
      <c r="A1" s="3" t="s">
        <v>40</v>
      </c>
      <c r="B1" s="4" t="s">
        <v>60</v>
      </c>
      <c r="C1" s="5" t="s">
        <v>56</v>
      </c>
      <c r="D1" s="4" t="s">
        <v>39</v>
      </c>
      <c r="E1" s="6" t="s">
        <v>72</v>
      </c>
      <c r="F1" s="6" t="s">
        <v>73</v>
      </c>
      <c r="G1" s="6" t="s">
        <v>74</v>
      </c>
      <c r="H1" s="6" t="s">
        <v>75</v>
      </c>
      <c r="I1" s="7" t="s">
        <v>76</v>
      </c>
      <c r="J1" s="8" t="s">
        <v>50</v>
      </c>
    </row>
    <row r="2" spans="1:10">
      <c r="A2" s="9" t="s">
        <v>49</v>
      </c>
      <c r="B2" s="10" t="s">
        <v>77</v>
      </c>
      <c r="C2" s="11" t="s">
        <v>59</v>
      </c>
      <c r="D2" s="10" t="s">
        <v>45</v>
      </c>
      <c r="E2" s="12">
        <v>25</v>
      </c>
      <c r="F2" s="13">
        <v>2375000</v>
      </c>
      <c r="G2" s="14">
        <v>1068750</v>
      </c>
      <c r="H2" s="14">
        <v>1306250</v>
      </c>
      <c r="I2" s="15">
        <v>46083</v>
      </c>
      <c r="J2" s="16" t="str">
        <f t="shared" ref="J2:J33" si="0">TEXT(I2,"MMMM")</f>
        <v>March</v>
      </c>
    </row>
    <row r="3" spans="1:10">
      <c r="A3" s="17" t="s">
        <v>49</v>
      </c>
      <c r="B3" s="18" t="s">
        <v>78</v>
      </c>
      <c r="C3" s="19" t="s">
        <v>58</v>
      </c>
      <c r="D3" s="18" t="s">
        <v>43</v>
      </c>
      <c r="E3" s="20">
        <v>37</v>
      </c>
      <c r="F3" s="21">
        <v>4440000</v>
      </c>
      <c r="G3" s="22">
        <v>2220000</v>
      </c>
      <c r="H3" s="22">
        <v>2220000</v>
      </c>
      <c r="I3" s="23">
        <v>46084</v>
      </c>
      <c r="J3" s="24" t="str">
        <f t="shared" si="0"/>
        <v>March</v>
      </c>
    </row>
    <row r="4" spans="1:10">
      <c r="A4" s="9" t="s">
        <v>47</v>
      </c>
      <c r="B4" s="10" t="s">
        <v>79</v>
      </c>
      <c r="C4" s="11" t="s">
        <v>57</v>
      </c>
      <c r="D4" s="10" t="s">
        <v>41</v>
      </c>
      <c r="E4" s="12">
        <v>18</v>
      </c>
      <c r="F4" s="13">
        <v>1350000</v>
      </c>
      <c r="G4" s="14">
        <v>540000</v>
      </c>
      <c r="H4" s="14">
        <v>810000</v>
      </c>
      <c r="I4" s="15">
        <v>46085</v>
      </c>
      <c r="J4" s="16" t="str">
        <f t="shared" si="0"/>
        <v>March</v>
      </c>
    </row>
    <row r="5" spans="1:10">
      <c r="A5" s="17" t="s">
        <v>47</v>
      </c>
      <c r="B5" s="18" t="s">
        <v>80</v>
      </c>
      <c r="C5" s="19" t="s">
        <v>59</v>
      </c>
      <c r="D5" s="18" t="s">
        <v>44</v>
      </c>
      <c r="E5" s="20">
        <v>16</v>
      </c>
      <c r="F5" s="21">
        <v>800000</v>
      </c>
      <c r="G5" s="22">
        <v>280000</v>
      </c>
      <c r="H5" s="22">
        <v>520000</v>
      </c>
      <c r="I5" s="23">
        <v>46086</v>
      </c>
      <c r="J5" s="24" t="str">
        <f t="shared" si="0"/>
        <v>March</v>
      </c>
    </row>
    <row r="6" spans="1:10">
      <c r="A6" s="9" t="s">
        <v>48</v>
      </c>
      <c r="B6" s="10" t="s">
        <v>81</v>
      </c>
      <c r="C6" s="11" t="s">
        <v>58</v>
      </c>
      <c r="D6" s="10" t="s">
        <v>42</v>
      </c>
      <c r="E6" s="12">
        <v>9</v>
      </c>
      <c r="F6" s="13">
        <v>1620000</v>
      </c>
      <c r="G6" s="14">
        <v>891000</v>
      </c>
      <c r="H6" s="14">
        <v>729000</v>
      </c>
      <c r="I6" s="15">
        <v>46087</v>
      </c>
      <c r="J6" s="16" t="str">
        <f t="shared" si="0"/>
        <v>March</v>
      </c>
    </row>
    <row r="7" spans="1:10">
      <c r="A7" s="17" t="s">
        <v>48</v>
      </c>
      <c r="B7" s="18" t="s">
        <v>67</v>
      </c>
      <c r="C7" s="19" t="s">
        <v>57</v>
      </c>
      <c r="D7" s="18" t="s">
        <v>45</v>
      </c>
      <c r="E7" s="20">
        <v>9</v>
      </c>
      <c r="F7" s="21">
        <v>855000</v>
      </c>
      <c r="G7" s="22">
        <v>384750</v>
      </c>
      <c r="H7" s="22">
        <v>470250</v>
      </c>
      <c r="I7" s="23">
        <v>46088</v>
      </c>
      <c r="J7" s="24" t="str">
        <f t="shared" si="0"/>
        <v>March</v>
      </c>
    </row>
    <row r="8" spans="1:10">
      <c r="A8" s="9" t="s">
        <v>49</v>
      </c>
      <c r="B8" s="10" t="s">
        <v>61</v>
      </c>
      <c r="C8" s="11" t="s">
        <v>59</v>
      </c>
      <c r="D8" s="10" t="s">
        <v>43</v>
      </c>
      <c r="E8" s="12">
        <v>25</v>
      </c>
      <c r="F8" s="13">
        <v>3000000</v>
      </c>
      <c r="G8" s="14">
        <v>1500000</v>
      </c>
      <c r="H8" s="14">
        <v>1500000</v>
      </c>
      <c r="I8" s="15">
        <v>46089</v>
      </c>
      <c r="J8" s="16" t="str">
        <f t="shared" si="0"/>
        <v>March</v>
      </c>
    </row>
    <row r="9" spans="1:10">
      <c r="A9" s="17" t="s">
        <v>49</v>
      </c>
      <c r="B9" s="18" t="s">
        <v>68</v>
      </c>
      <c r="C9" s="19" t="s">
        <v>58</v>
      </c>
      <c r="D9" s="18" t="s">
        <v>41</v>
      </c>
      <c r="E9" s="20">
        <v>5</v>
      </c>
      <c r="F9" s="21">
        <v>375000</v>
      </c>
      <c r="G9" s="22">
        <v>150000</v>
      </c>
      <c r="H9" s="22">
        <v>225000</v>
      </c>
      <c r="I9" s="23">
        <v>46090</v>
      </c>
      <c r="J9" s="24" t="str">
        <f t="shared" si="0"/>
        <v>March</v>
      </c>
    </row>
    <row r="10" spans="1:10">
      <c r="A10" s="9" t="s">
        <v>47</v>
      </c>
      <c r="B10" s="10" t="s">
        <v>62</v>
      </c>
      <c r="C10" s="11" t="s">
        <v>57</v>
      </c>
      <c r="D10" s="10" t="s">
        <v>44</v>
      </c>
      <c r="E10" s="12">
        <v>16</v>
      </c>
      <c r="F10" s="13">
        <v>800000</v>
      </c>
      <c r="G10" s="14">
        <v>280000</v>
      </c>
      <c r="H10" s="14">
        <v>520000</v>
      </c>
      <c r="I10" s="15">
        <v>46091</v>
      </c>
      <c r="J10" s="16" t="str">
        <f t="shared" si="0"/>
        <v>March</v>
      </c>
    </row>
    <row r="11" spans="1:10">
      <c r="A11" s="17" t="s">
        <v>47</v>
      </c>
      <c r="B11" s="18" t="s">
        <v>63</v>
      </c>
      <c r="C11" s="19" t="s">
        <v>59</v>
      </c>
      <c r="D11" s="18" t="s">
        <v>42</v>
      </c>
      <c r="E11" s="20">
        <v>17</v>
      </c>
      <c r="F11" s="21">
        <v>3060000</v>
      </c>
      <c r="G11" s="22">
        <v>1683000</v>
      </c>
      <c r="H11" s="22">
        <v>1377000</v>
      </c>
      <c r="I11" s="23">
        <v>46092</v>
      </c>
      <c r="J11" s="24" t="str">
        <f t="shared" si="0"/>
        <v>March</v>
      </c>
    </row>
    <row r="12" spans="1:10">
      <c r="A12" s="9" t="s">
        <v>48</v>
      </c>
      <c r="B12" s="10" t="s">
        <v>64</v>
      </c>
      <c r="C12" s="11" t="s">
        <v>58</v>
      </c>
      <c r="D12" s="10" t="s">
        <v>45</v>
      </c>
      <c r="E12" s="12">
        <v>17</v>
      </c>
      <c r="F12" s="13">
        <v>1615000</v>
      </c>
      <c r="G12" s="14">
        <v>726750</v>
      </c>
      <c r="H12" s="14">
        <v>888250</v>
      </c>
      <c r="I12" s="15">
        <v>46093</v>
      </c>
      <c r="J12" s="16" t="str">
        <f t="shared" si="0"/>
        <v>March</v>
      </c>
    </row>
    <row r="13" spans="1:10">
      <c r="A13" s="17" t="s">
        <v>48</v>
      </c>
      <c r="B13" s="18" t="s">
        <v>66</v>
      </c>
      <c r="C13" s="19" t="s">
        <v>57</v>
      </c>
      <c r="D13" s="18" t="s">
        <v>43</v>
      </c>
      <c r="E13" s="20">
        <v>5</v>
      </c>
      <c r="F13" s="21">
        <v>600000</v>
      </c>
      <c r="G13" s="22">
        <v>300000</v>
      </c>
      <c r="H13" s="22">
        <v>300000</v>
      </c>
      <c r="I13" s="23">
        <v>46094</v>
      </c>
      <c r="J13" s="24" t="str">
        <f t="shared" si="0"/>
        <v>March</v>
      </c>
    </row>
    <row r="14" spans="1:10">
      <c r="A14" s="9" t="s">
        <v>49</v>
      </c>
      <c r="B14" s="10" t="s">
        <v>70</v>
      </c>
      <c r="C14" s="11" t="s">
        <v>59</v>
      </c>
      <c r="D14" s="10" t="s">
        <v>41</v>
      </c>
      <c r="E14" s="12">
        <v>18</v>
      </c>
      <c r="F14" s="13">
        <v>1350000</v>
      </c>
      <c r="G14" s="14">
        <v>540000</v>
      </c>
      <c r="H14" s="14">
        <v>810000</v>
      </c>
      <c r="I14" s="15">
        <v>46095</v>
      </c>
      <c r="J14" s="16" t="str">
        <f t="shared" si="0"/>
        <v>March</v>
      </c>
    </row>
    <row r="15" spans="1:10">
      <c r="A15" s="17" t="s">
        <v>49</v>
      </c>
      <c r="B15" s="18" t="s">
        <v>65</v>
      </c>
      <c r="C15" s="19" t="s">
        <v>58</v>
      </c>
      <c r="D15" s="18" t="s">
        <v>44</v>
      </c>
      <c r="E15" s="20">
        <v>13</v>
      </c>
      <c r="F15" s="21">
        <v>650000</v>
      </c>
      <c r="G15" s="22">
        <v>227500</v>
      </c>
      <c r="H15" s="22">
        <v>422500</v>
      </c>
      <c r="I15" s="23">
        <v>46096</v>
      </c>
      <c r="J15" s="24" t="str">
        <f t="shared" si="0"/>
        <v>March</v>
      </c>
    </row>
    <row r="16" spans="1:10">
      <c r="A16" s="9" t="s">
        <v>47</v>
      </c>
      <c r="B16" s="10" t="s">
        <v>69</v>
      </c>
      <c r="C16" s="11" t="s">
        <v>57</v>
      </c>
      <c r="D16" s="10" t="s">
        <v>42</v>
      </c>
      <c r="E16" s="12">
        <v>9</v>
      </c>
      <c r="F16" s="13">
        <v>1620000</v>
      </c>
      <c r="G16" s="14">
        <v>891000</v>
      </c>
      <c r="H16" s="14">
        <v>729000</v>
      </c>
      <c r="I16" s="15">
        <v>46097</v>
      </c>
      <c r="J16" s="16" t="str">
        <f t="shared" si="0"/>
        <v>March</v>
      </c>
    </row>
    <row r="17" spans="1:10">
      <c r="A17" s="17" t="s">
        <v>47</v>
      </c>
      <c r="B17" s="18" t="s">
        <v>82</v>
      </c>
      <c r="C17" s="19" t="s">
        <v>59</v>
      </c>
      <c r="D17" s="18" t="s">
        <v>45</v>
      </c>
      <c r="E17" s="20">
        <v>10</v>
      </c>
      <c r="F17" s="21">
        <v>950000</v>
      </c>
      <c r="G17" s="22">
        <v>427500</v>
      </c>
      <c r="H17" s="22">
        <v>522500</v>
      </c>
      <c r="I17" s="23">
        <v>46098</v>
      </c>
      <c r="J17" s="24" t="str">
        <f t="shared" si="0"/>
        <v>March</v>
      </c>
    </row>
    <row r="18" spans="1:10">
      <c r="A18" s="9" t="s">
        <v>48</v>
      </c>
      <c r="B18" s="10" t="s">
        <v>77</v>
      </c>
      <c r="C18" s="11" t="s">
        <v>58</v>
      </c>
      <c r="D18" s="10" t="s">
        <v>43</v>
      </c>
      <c r="E18" s="12">
        <v>30</v>
      </c>
      <c r="F18" s="13">
        <v>3600000</v>
      </c>
      <c r="G18" s="14">
        <v>1800000</v>
      </c>
      <c r="H18" s="14">
        <v>1800000</v>
      </c>
      <c r="I18" s="15">
        <v>46099</v>
      </c>
      <c r="J18" s="16" t="str">
        <f t="shared" si="0"/>
        <v>March</v>
      </c>
    </row>
    <row r="19" spans="1:10">
      <c r="A19" s="17" t="s">
        <v>48</v>
      </c>
      <c r="B19" s="18" t="s">
        <v>78</v>
      </c>
      <c r="C19" s="19" t="s">
        <v>57</v>
      </c>
      <c r="D19" s="18" t="s">
        <v>41</v>
      </c>
      <c r="E19" s="20">
        <v>37</v>
      </c>
      <c r="F19" s="21">
        <v>2775000</v>
      </c>
      <c r="G19" s="22">
        <v>1110000</v>
      </c>
      <c r="H19" s="22">
        <v>1665000</v>
      </c>
      <c r="I19" s="23">
        <v>46100</v>
      </c>
      <c r="J19" s="24" t="str">
        <f t="shared" si="0"/>
        <v>March</v>
      </c>
    </row>
    <row r="20" spans="1:10">
      <c r="A20" s="9" t="s">
        <v>49</v>
      </c>
      <c r="B20" s="10" t="s">
        <v>79</v>
      </c>
      <c r="C20" s="11" t="s">
        <v>59</v>
      </c>
      <c r="D20" s="10" t="s">
        <v>44</v>
      </c>
      <c r="E20" s="12">
        <v>21</v>
      </c>
      <c r="F20" s="13">
        <v>1050000</v>
      </c>
      <c r="G20" s="14">
        <v>367500</v>
      </c>
      <c r="H20" s="14">
        <v>682500</v>
      </c>
      <c r="I20" s="15">
        <v>46101</v>
      </c>
      <c r="J20" s="16" t="str">
        <f t="shared" si="0"/>
        <v>March</v>
      </c>
    </row>
    <row r="21" spans="1:10">
      <c r="A21" s="17" t="s">
        <v>49</v>
      </c>
      <c r="B21" s="18" t="s">
        <v>80</v>
      </c>
      <c r="C21" s="19" t="s">
        <v>58</v>
      </c>
      <c r="D21" s="18" t="s">
        <v>42</v>
      </c>
      <c r="E21" s="20">
        <v>22</v>
      </c>
      <c r="F21" s="21">
        <v>3960000</v>
      </c>
      <c r="G21" s="22">
        <v>2178000</v>
      </c>
      <c r="H21" s="22">
        <v>1782000</v>
      </c>
      <c r="I21" s="23">
        <v>46102</v>
      </c>
      <c r="J21" s="24" t="str">
        <f t="shared" si="0"/>
        <v>March</v>
      </c>
    </row>
    <row r="22" spans="1:10">
      <c r="A22" s="9" t="s">
        <v>47</v>
      </c>
      <c r="B22" s="10" t="s">
        <v>81</v>
      </c>
      <c r="C22" s="11" t="s">
        <v>57</v>
      </c>
      <c r="D22" s="10" t="s">
        <v>45</v>
      </c>
      <c r="E22" s="12">
        <v>18</v>
      </c>
      <c r="F22" s="13">
        <v>1710000</v>
      </c>
      <c r="G22" s="14">
        <v>769500</v>
      </c>
      <c r="H22" s="14">
        <v>940500</v>
      </c>
      <c r="I22" s="15">
        <v>46134</v>
      </c>
      <c r="J22" s="16" t="str">
        <f t="shared" si="0"/>
        <v>April</v>
      </c>
    </row>
    <row r="23" spans="1:10">
      <c r="A23" s="17" t="s">
        <v>47</v>
      </c>
      <c r="B23" s="18" t="s">
        <v>67</v>
      </c>
      <c r="C23" s="19" t="s">
        <v>59</v>
      </c>
      <c r="D23" s="18" t="s">
        <v>43</v>
      </c>
      <c r="E23" s="20">
        <v>9</v>
      </c>
      <c r="F23" s="21">
        <v>1080000</v>
      </c>
      <c r="G23" s="22">
        <v>540000</v>
      </c>
      <c r="H23" s="22">
        <v>540000</v>
      </c>
      <c r="I23" s="23">
        <v>46135</v>
      </c>
      <c r="J23" s="24" t="str">
        <f t="shared" si="0"/>
        <v>April</v>
      </c>
    </row>
    <row r="24" spans="1:10">
      <c r="A24" s="9" t="s">
        <v>48</v>
      </c>
      <c r="B24" s="10" t="s">
        <v>61</v>
      </c>
      <c r="C24" s="11" t="s">
        <v>58</v>
      </c>
      <c r="D24" s="10" t="s">
        <v>41</v>
      </c>
      <c r="E24" s="12">
        <v>25</v>
      </c>
      <c r="F24" s="13">
        <v>1875000</v>
      </c>
      <c r="G24" s="14">
        <v>750000</v>
      </c>
      <c r="H24" s="14">
        <v>1125000</v>
      </c>
      <c r="I24" s="15">
        <v>46136</v>
      </c>
      <c r="J24" s="16" t="str">
        <f t="shared" si="0"/>
        <v>April</v>
      </c>
    </row>
    <row r="25" spans="1:10">
      <c r="A25" s="17" t="s">
        <v>48</v>
      </c>
      <c r="B25" s="18" t="s">
        <v>68</v>
      </c>
      <c r="C25" s="19" t="s">
        <v>57</v>
      </c>
      <c r="D25" s="18" t="s">
        <v>44</v>
      </c>
      <c r="E25" s="20">
        <v>13</v>
      </c>
      <c r="F25" s="21">
        <v>650000</v>
      </c>
      <c r="G25" s="22">
        <v>227500</v>
      </c>
      <c r="H25" s="22">
        <v>422500</v>
      </c>
      <c r="I25" s="23">
        <v>46137</v>
      </c>
      <c r="J25" s="24" t="str">
        <f t="shared" si="0"/>
        <v>April</v>
      </c>
    </row>
    <row r="26" spans="1:10">
      <c r="A26" s="9" t="s">
        <v>49</v>
      </c>
      <c r="B26" s="10" t="s">
        <v>62</v>
      </c>
      <c r="C26" s="11" t="s">
        <v>59</v>
      </c>
      <c r="D26" s="10" t="s">
        <v>42</v>
      </c>
      <c r="E26" s="12">
        <v>18</v>
      </c>
      <c r="F26" s="13">
        <v>3240000</v>
      </c>
      <c r="G26" s="14">
        <v>1782000</v>
      </c>
      <c r="H26" s="14">
        <v>1458000</v>
      </c>
      <c r="I26" s="15">
        <v>46138</v>
      </c>
      <c r="J26" s="16" t="str">
        <f t="shared" si="0"/>
        <v>April</v>
      </c>
    </row>
    <row r="27" spans="1:10">
      <c r="A27" s="17" t="s">
        <v>49</v>
      </c>
      <c r="B27" s="18" t="s">
        <v>63</v>
      </c>
      <c r="C27" s="19" t="s">
        <v>58</v>
      </c>
      <c r="D27" s="18" t="s">
        <v>45</v>
      </c>
      <c r="E27" s="20">
        <v>8</v>
      </c>
      <c r="F27" s="21">
        <v>760000</v>
      </c>
      <c r="G27" s="22">
        <v>342000</v>
      </c>
      <c r="H27" s="22">
        <v>418000</v>
      </c>
      <c r="I27" s="23">
        <v>46139</v>
      </c>
      <c r="J27" s="24" t="str">
        <f t="shared" si="0"/>
        <v>April</v>
      </c>
    </row>
    <row r="28" spans="1:10">
      <c r="A28" s="9" t="s">
        <v>47</v>
      </c>
      <c r="B28" s="10" t="s">
        <v>64</v>
      </c>
      <c r="C28" s="11" t="s">
        <v>57</v>
      </c>
      <c r="D28" s="10" t="s">
        <v>43</v>
      </c>
      <c r="E28" s="12">
        <v>16</v>
      </c>
      <c r="F28" s="13">
        <v>1920000</v>
      </c>
      <c r="G28" s="14">
        <v>960000</v>
      </c>
      <c r="H28" s="14">
        <v>960000</v>
      </c>
      <c r="I28" s="15">
        <v>46140</v>
      </c>
      <c r="J28" s="16" t="str">
        <f t="shared" si="0"/>
        <v>April</v>
      </c>
    </row>
    <row r="29" spans="1:10">
      <c r="A29" s="17" t="s">
        <v>47</v>
      </c>
      <c r="B29" s="18" t="s">
        <v>66</v>
      </c>
      <c r="C29" s="19" t="s">
        <v>59</v>
      </c>
      <c r="D29" s="18" t="s">
        <v>41</v>
      </c>
      <c r="E29" s="20">
        <v>17</v>
      </c>
      <c r="F29" s="21">
        <v>1275000</v>
      </c>
      <c r="G29" s="22">
        <v>510000</v>
      </c>
      <c r="H29" s="22">
        <v>765000</v>
      </c>
      <c r="I29" s="23">
        <v>46113</v>
      </c>
      <c r="J29" s="24" t="str">
        <f t="shared" si="0"/>
        <v>April</v>
      </c>
    </row>
    <row r="30" spans="1:10">
      <c r="A30" s="9" t="s">
        <v>48</v>
      </c>
      <c r="B30" s="10" t="s">
        <v>70</v>
      </c>
      <c r="C30" s="11" t="s">
        <v>58</v>
      </c>
      <c r="D30" s="10" t="s">
        <v>44</v>
      </c>
      <c r="E30" s="12">
        <v>5</v>
      </c>
      <c r="F30" s="13">
        <v>250000</v>
      </c>
      <c r="G30" s="14">
        <v>87500</v>
      </c>
      <c r="H30" s="14">
        <v>162500</v>
      </c>
      <c r="I30" s="15">
        <v>46114</v>
      </c>
      <c r="J30" s="16" t="str">
        <f t="shared" si="0"/>
        <v>April</v>
      </c>
    </row>
    <row r="31" spans="1:10">
      <c r="A31" s="17" t="s">
        <v>48</v>
      </c>
      <c r="B31" s="18" t="s">
        <v>65</v>
      </c>
      <c r="C31" s="19" t="s">
        <v>57</v>
      </c>
      <c r="D31" s="18" t="s">
        <v>42</v>
      </c>
      <c r="E31" s="20">
        <v>18</v>
      </c>
      <c r="F31" s="21">
        <v>3240000</v>
      </c>
      <c r="G31" s="22">
        <v>1782000</v>
      </c>
      <c r="H31" s="22">
        <v>1458000</v>
      </c>
      <c r="I31" s="23">
        <v>46115</v>
      </c>
      <c r="J31" s="24" t="str">
        <f t="shared" si="0"/>
        <v>April</v>
      </c>
    </row>
    <row r="32" spans="1:10">
      <c r="A32" s="9" t="s">
        <v>49</v>
      </c>
      <c r="B32" s="10" t="s">
        <v>69</v>
      </c>
      <c r="C32" s="11" t="s">
        <v>59</v>
      </c>
      <c r="D32" s="10" t="s">
        <v>45</v>
      </c>
      <c r="E32" s="12">
        <v>10</v>
      </c>
      <c r="F32" s="13">
        <v>950000</v>
      </c>
      <c r="G32" s="14">
        <v>427500</v>
      </c>
      <c r="H32" s="14">
        <v>522500</v>
      </c>
      <c r="I32" s="15">
        <v>46116</v>
      </c>
      <c r="J32" s="16" t="str">
        <f t="shared" si="0"/>
        <v>April</v>
      </c>
    </row>
    <row r="33" spans="1:10">
      <c r="A33" s="17" t="s">
        <v>49</v>
      </c>
      <c r="B33" s="18" t="s">
        <v>82</v>
      </c>
      <c r="C33" s="19" t="s">
        <v>58</v>
      </c>
      <c r="D33" s="18" t="s">
        <v>43</v>
      </c>
      <c r="E33" s="20">
        <v>11</v>
      </c>
      <c r="F33" s="21">
        <v>1320000</v>
      </c>
      <c r="G33" s="22">
        <v>660000</v>
      </c>
      <c r="H33" s="22">
        <v>660000</v>
      </c>
      <c r="I33" s="23">
        <v>46117</v>
      </c>
      <c r="J33" s="24" t="str">
        <f t="shared" si="0"/>
        <v>April</v>
      </c>
    </row>
    <row r="34" spans="1:10">
      <c r="A34" s="9" t="s">
        <v>47</v>
      </c>
      <c r="B34" s="10" t="s">
        <v>77</v>
      </c>
      <c r="C34" s="11" t="s">
        <v>57</v>
      </c>
      <c r="D34" s="10" t="s">
        <v>41</v>
      </c>
      <c r="E34" s="12">
        <v>28</v>
      </c>
      <c r="F34" s="13">
        <v>2100000</v>
      </c>
      <c r="G34" s="14">
        <v>840000</v>
      </c>
      <c r="H34" s="14">
        <v>1260000</v>
      </c>
      <c r="I34" s="15">
        <v>46118</v>
      </c>
      <c r="J34" s="16" t="str">
        <f t="shared" ref="J34:J61" si="1">TEXT(I34,"MMMM")</f>
        <v>April</v>
      </c>
    </row>
    <row r="35" spans="1:10">
      <c r="A35" s="17" t="s">
        <v>47</v>
      </c>
      <c r="B35" s="18" t="s">
        <v>78</v>
      </c>
      <c r="C35" s="19" t="s">
        <v>59</v>
      </c>
      <c r="D35" s="18" t="s">
        <v>44</v>
      </c>
      <c r="E35" s="20">
        <v>30</v>
      </c>
      <c r="F35" s="21">
        <v>1500000</v>
      </c>
      <c r="G35" s="22">
        <v>525000</v>
      </c>
      <c r="H35" s="22">
        <v>975000</v>
      </c>
      <c r="I35" s="23">
        <v>46119</v>
      </c>
      <c r="J35" s="24" t="str">
        <f t="shared" si="1"/>
        <v>April</v>
      </c>
    </row>
    <row r="36" spans="1:10">
      <c r="A36" s="9" t="s">
        <v>48</v>
      </c>
      <c r="B36" s="10" t="s">
        <v>79</v>
      </c>
      <c r="C36" s="11" t="s">
        <v>58</v>
      </c>
      <c r="D36" s="10" t="s">
        <v>42</v>
      </c>
      <c r="E36" s="12">
        <v>18</v>
      </c>
      <c r="F36" s="13">
        <v>3240000</v>
      </c>
      <c r="G36" s="14">
        <v>1782000</v>
      </c>
      <c r="H36" s="14">
        <v>1458000</v>
      </c>
      <c r="I36" s="15">
        <v>46120</v>
      </c>
      <c r="J36" s="16" t="str">
        <f t="shared" si="1"/>
        <v>April</v>
      </c>
    </row>
    <row r="37" spans="1:10">
      <c r="A37" s="17" t="s">
        <v>48</v>
      </c>
      <c r="B37" s="18" t="s">
        <v>80</v>
      </c>
      <c r="C37" s="19" t="s">
        <v>57</v>
      </c>
      <c r="D37" s="18" t="s">
        <v>45</v>
      </c>
      <c r="E37" s="20">
        <v>11</v>
      </c>
      <c r="F37" s="21">
        <v>1045000</v>
      </c>
      <c r="G37" s="22">
        <v>470250</v>
      </c>
      <c r="H37" s="22">
        <v>574750</v>
      </c>
      <c r="I37" s="23">
        <v>46121</v>
      </c>
      <c r="J37" s="24" t="str">
        <f t="shared" si="1"/>
        <v>April</v>
      </c>
    </row>
    <row r="38" spans="1:10">
      <c r="A38" s="9" t="s">
        <v>49</v>
      </c>
      <c r="B38" s="10" t="s">
        <v>81</v>
      </c>
      <c r="C38" s="11" t="s">
        <v>59</v>
      </c>
      <c r="D38" s="10" t="s">
        <v>43</v>
      </c>
      <c r="E38" s="12">
        <v>5</v>
      </c>
      <c r="F38" s="13">
        <v>600000</v>
      </c>
      <c r="G38" s="14">
        <v>300000</v>
      </c>
      <c r="H38" s="14">
        <v>300000</v>
      </c>
      <c r="I38" s="15">
        <v>46122</v>
      </c>
      <c r="J38" s="16" t="str">
        <f t="shared" si="1"/>
        <v>April</v>
      </c>
    </row>
    <row r="39" spans="1:10">
      <c r="A39" s="17" t="s">
        <v>49</v>
      </c>
      <c r="B39" s="18" t="s">
        <v>67</v>
      </c>
      <c r="C39" s="19" t="s">
        <v>58</v>
      </c>
      <c r="D39" s="18" t="s">
        <v>41</v>
      </c>
      <c r="E39" s="20">
        <v>9</v>
      </c>
      <c r="F39" s="21">
        <v>675000</v>
      </c>
      <c r="G39" s="22">
        <v>270000</v>
      </c>
      <c r="H39" s="22">
        <v>405000</v>
      </c>
      <c r="I39" s="23">
        <v>46123</v>
      </c>
      <c r="J39" s="24" t="str">
        <f t="shared" si="1"/>
        <v>April</v>
      </c>
    </row>
    <row r="40" spans="1:10">
      <c r="A40" s="9" t="s">
        <v>47</v>
      </c>
      <c r="B40" s="10" t="s">
        <v>61</v>
      </c>
      <c r="C40" s="11" t="s">
        <v>57</v>
      </c>
      <c r="D40" s="10" t="s">
        <v>44</v>
      </c>
      <c r="E40" s="12">
        <v>37</v>
      </c>
      <c r="F40" s="13">
        <v>1850000</v>
      </c>
      <c r="G40" s="14">
        <v>647500</v>
      </c>
      <c r="H40" s="14">
        <v>1202500</v>
      </c>
      <c r="I40" s="15">
        <v>46124</v>
      </c>
      <c r="J40" s="16" t="str">
        <f t="shared" si="1"/>
        <v>April</v>
      </c>
    </row>
    <row r="41" spans="1:10">
      <c r="A41" s="17" t="s">
        <v>47</v>
      </c>
      <c r="B41" s="18" t="s">
        <v>68</v>
      </c>
      <c r="C41" s="19" t="s">
        <v>59</v>
      </c>
      <c r="D41" s="18" t="s">
        <v>42</v>
      </c>
      <c r="E41" s="20">
        <v>7</v>
      </c>
      <c r="F41" s="21">
        <v>1260000</v>
      </c>
      <c r="G41" s="22">
        <v>693000</v>
      </c>
      <c r="H41" s="22">
        <v>567000</v>
      </c>
      <c r="I41" s="23">
        <v>46125</v>
      </c>
      <c r="J41" s="24" t="str">
        <f t="shared" si="1"/>
        <v>April</v>
      </c>
    </row>
    <row r="42" spans="1:10">
      <c r="A42" s="9" t="s">
        <v>48</v>
      </c>
      <c r="B42" s="10" t="s">
        <v>62</v>
      </c>
      <c r="C42" s="11" t="s">
        <v>58</v>
      </c>
      <c r="D42" s="10" t="s">
        <v>45</v>
      </c>
      <c r="E42" s="12">
        <v>5</v>
      </c>
      <c r="F42" s="13">
        <v>475000</v>
      </c>
      <c r="G42" s="14">
        <v>213750</v>
      </c>
      <c r="H42" s="14">
        <v>261250</v>
      </c>
      <c r="I42" s="15">
        <v>46156</v>
      </c>
      <c r="J42" s="16" t="str">
        <f t="shared" si="1"/>
        <v>May</v>
      </c>
    </row>
    <row r="43" spans="1:10">
      <c r="A43" s="17" t="s">
        <v>48</v>
      </c>
      <c r="B43" s="18" t="s">
        <v>63</v>
      </c>
      <c r="C43" s="19" t="s">
        <v>57</v>
      </c>
      <c r="D43" s="18" t="s">
        <v>43</v>
      </c>
      <c r="E43" s="20">
        <v>15</v>
      </c>
      <c r="F43" s="21">
        <v>1800000</v>
      </c>
      <c r="G43" s="22">
        <v>900000</v>
      </c>
      <c r="H43" s="22">
        <v>900000</v>
      </c>
      <c r="I43" s="23">
        <v>46157</v>
      </c>
      <c r="J43" s="24" t="str">
        <f t="shared" si="1"/>
        <v>May</v>
      </c>
    </row>
    <row r="44" spans="1:10">
      <c r="A44" s="9" t="s">
        <v>49</v>
      </c>
      <c r="B44" s="10" t="s">
        <v>64</v>
      </c>
      <c r="C44" s="11" t="s">
        <v>59</v>
      </c>
      <c r="D44" s="10" t="s">
        <v>41</v>
      </c>
      <c r="E44" s="12">
        <v>11</v>
      </c>
      <c r="F44" s="13">
        <v>825000</v>
      </c>
      <c r="G44" s="14">
        <v>330000</v>
      </c>
      <c r="H44" s="14">
        <v>495000</v>
      </c>
      <c r="I44" s="15">
        <v>46158</v>
      </c>
      <c r="J44" s="16" t="str">
        <f t="shared" si="1"/>
        <v>May</v>
      </c>
    </row>
    <row r="45" spans="1:10">
      <c r="A45" s="17" t="s">
        <v>49</v>
      </c>
      <c r="B45" s="18" t="s">
        <v>66</v>
      </c>
      <c r="C45" s="19" t="s">
        <v>58</v>
      </c>
      <c r="D45" s="18" t="s">
        <v>44</v>
      </c>
      <c r="E45" s="20">
        <v>4</v>
      </c>
      <c r="F45" s="21">
        <v>200000</v>
      </c>
      <c r="G45" s="22">
        <v>70000</v>
      </c>
      <c r="H45" s="22">
        <v>130000</v>
      </c>
      <c r="I45" s="23">
        <v>46159</v>
      </c>
      <c r="J45" s="24" t="str">
        <f t="shared" si="1"/>
        <v>May</v>
      </c>
    </row>
    <row r="46" spans="1:10">
      <c r="A46" s="9" t="s">
        <v>47</v>
      </c>
      <c r="B46" s="10" t="s">
        <v>70</v>
      </c>
      <c r="C46" s="11" t="s">
        <v>57</v>
      </c>
      <c r="D46" s="10" t="s">
        <v>42</v>
      </c>
      <c r="E46" s="12">
        <v>9</v>
      </c>
      <c r="F46" s="13">
        <v>1620000</v>
      </c>
      <c r="G46" s="14">
        <v>891000</v>
      </c>
      <c r="H46" s="14">
        <v>729000</v>
      </c>
      <c r="I46" s="15">
        <v>46160</v>
      </c>
      <c r="J46" s="16" t="str">
        <f t="shared" si="1"/>
        <v>May</v>
      </c>
    </row>
    <row r="47" spans="1:10">
      <c r="A47" s="17" t="s">
        <v>47</v>
      </c>
      <c r="B47" s="18" t="s">
        <v>65</v>
      </c>
      <c r="C47" s="19" t="s">
        <v>59</v>
      </c>
      <c r="D47" s="18" t="s">
        <v>45</v>
      </c>
      <c r="E47" s="20">
        <v>9</v>
      </c>
      <c r="F47" s="21">
        <v>855000</v>
      </c>
      <c r="G47" s="22">
        <v>384750</v>
      </c>
      <c r="H47" s="22">
        <v>470250</v>
      </c>
      <c r="I47" s="23">
        <v>46161</v>
      </c>
      <c r="J47" s="24" t="str">
        <f t="shared" si="1"/>
        <v>May</v>
      </c>
    </row>
    <row r="48" spans="1:10">
      <c r="A48" s="9" t="s">
        <v>48</v>
      </c>
      <c r="B48" s="10" t="s">
        <v>69</v>
      </c>
      <c r="C48" s="11" t="s">
        <v>58</v>
      </c>
      <c r="D48" s="10" t="s">
        <v>43</v>
      </c>
      <c r="E48" s="12">
        <v>9</v>
      </c>
      <c r="F48" s="13">
        <v>1080000</v>
      </c>
      <c r="G48" s="14">
        <v>540000</v>
      </c>
      <c r="H48" s="14">
        <v>540000</v>
      </c>
      <c r="I48" s="15">
        <v>46162</v>
      </c>
      <c r="J48" s="16" t="str">
        <f t="shared" si="1"/>
        <v>May</v>
      </c>
    </row>
    <row r="49" spans="1:10">
      <c r="A49" s="17" t="s">
        <v>48</v>
      </c>
      <c r="B49" s="18" t="s">
        <v>82</v>
      </c>
      <c r="C49" s="19" t="s">
        <v>57</v>
      </c>
      <c r="D49" s="18" t="s">
        <v>41</v>
      </c>
      <c r="E49" s="20">
        <v>7</v>
      </c>
      <c r="F49" s="21">
        <v>525000</v>
      </c>
      <c r="G49" s="22">
        <v>210000</v>
      </c>
      <c r="H49" s="22">
        <v>315000</v>
      </c>
      <c r="I49" s="23">
        <v>46163</v>
      </c>
      <c r="J49" s="24" t="str">
        <f t="shared" si="1"/>
        <v>May</v>
      </c>
    </row>
    <row r="50" spans="1:10">
      <c r="A50" s="9" t="s">
        <v>49</v>
      </c>
      <c r="B50" s="10" t="s">
        <v>77</v>
      </c>
      <c r="C50" s="11" t="s">
        <v>59</v>
      </c>
      <c r="D50" s="10" t="s">
        <v>44</v>
      </c>
      <c r="E50" s="12">
        <v>24</v>
      </c>
      <c r="F50" s="13">
        <v>1200000</v>
      </c>
      <c r="G50" s="14">
        <v>420000</v>
      </c>
      <c r="H50" s="14">
        <v>780000</v>
      </c>
      <c r="I50" s="15">
        <v>46164</v>
      </c>
      <c r="J50" s="16" t="str">
        <f t="shared" si="1"/>
        <v>May</v>
      </c>
    </row>
    <row r="51" spans="1:10">
      <c r="A51" s="17" t="s">
        <v>49</v>
      </c>
      <c r="B51" s="18" t="s">
        <v>78</v>
      </c>
      <c r="C51" s="19" t="s">
        <v>58</v>
      </c>
      <c r="D51" s="18" t="s">
        <v>42</v>
      </c>
      <c r="E51" s="20">
        <v>13</v>
      </c>
      <c r="F51" s="21">
        <v>2340000</v>
      </c>
      <c r="G51" s="22">
        <v>1287000</v>
      </c>
      <c r="H51" s="22">
        <v>1053000</v>
      </c>
      <c r="I51" s="23">
        <v>46165</v>
      </c>
      <c r="J51" s="24" t="str">
        <f t="shared" si="1"/>
        <v>May</v>
      </c>
    </row>
    <row r="52" spans="1:10">
      <c r="A52" s="9" t="s">
        <v>47</v>
      </c>
      <c r="B52" s="10" t="s">
        <v>79</v>
      </c>
      <c r="C52" s="11" t="s">
        <v>57</v>
      </c>
      <c r="D52" s="10" t="s">
        <v>45</v>
      </c>
      <c r="E52" s="12">
        <v>10</v>
      </c>
      <c r="F52" s="13">
        <v>950000</v>
      </c>
      <c r="G52" s="14">
        <v>427500</v>
      </c>
      <c r="H52" s="14">
        <v>522500</v>
      </c>
      <c r="I52" s="15">
        <v>46166</v>
      </c>
      <c r="J52" s="16" t="str">
        <f t="shared" si="1"/>
        <v>May</v>
      </c>
    </row>
    <row r="53" spans="1:10">
      <c r="A53" s="17" t="s">
        <v>47</v>
      </c>
      <c r="B53" s="18" t="s">
        <v>80</v>
      </c>
      <c r="C53" s="19" t="s">
        <v>59</v>
      </c>
      <c r="D53" s="18" t="s">
        <v>43</v>
      </c>
      <c r="E53" s="20">
        <v>22</v>
      </c>
      <c r="F53" s="21">
        <v>2640000</v>
      </c>
      <c r="G53" s="22">
        <v>1320000</v>
      </c>
      <c r="H53" s="22">
        <v>1320000</v>
      </c>
      <c r="I53" s="23">
        <v>46167</v>
      </c>
      <c r="J53" s="24" t="str">
        <f t="shared" si="1"/>
        <v>May</v>
      </c>
    </row>
    <row r="54" spans="1:10">
      <c r="A54" s="9" t="s">
        <v>48</v>
      </c>
      <c r="B54" s="10" t="s">
        <v>81</v>
      </c>
      <c r="C54" s="11" t="s">
        <v>58</v>
      </c>
      <c r="D54" s="10" t="s">
        <v>41</v>
      </c>
      <c r="E54" s="12">
        <v>9</v>
      </c>
      <c r="F54" s="13">
        <v>675000</v>
      </c>
      <c r="G54" s="14">
        <v>270000</v>
      </c>
      <c r="H54" s="14">
        <v>405000</v>
      </c>
      <c r="I54" s="15">
        <v>46168</v>
      </c>
      <c r="J54" s="16" t="str">
        <f t="shared" si="1"/>
        <v>May</v>
      </c>
    </row>
    <row r="55" spans="1:10">
      <c r="A55" s="17" t="s">
        <v>48</v>
      </c>
      <c r="B55" s="18" t="s">
        <v>67</v>
      </c>
      <c r="C55" s="19" t="s">
        <v>57</v>
      </c>
      <c r="D55" s="18" t="s">
        <v>44</v>
      </c>
      <c r="E55" s="20">
        <v>16</v>
      </c>
      <c r="F55" s="21">
        <v>800000</v>
      </c>
      <c r="G55" s="22">
        <v>280000</v>
      </c>
      <c r="H55" s="22">
        <v>520000</v>
      </c>
      <c r="I55" s="23">
        <v>46169</v>
      </c>
      <c r="J55" s="24" t="str">
        <f t="shared" si="1"/>
        <v>May</v>
      </c>
    </row>
    <row r="56" spans="1:10">
      <c r="A56" s="9" t="s">
        <v>49</v>
      </c>
      <c r="B56" s="10" t="s">
        <v>61</v>
      </c>
      <c r="C56" s="11" t="s">
        <v>59</v>
      </c>
      <c r="D56" s="10" t="s">
        <v>42</v>
      </c>
      <c r="E56" s="12">
        <v>18</v>
      </c>
      <c r="F56" s="13">
        <v>3240000</v>
      </c>
      <c r="G56" s="14">
        <v>1782000</v>
      </c>
      <c r="H56" s="14">
        <v>1458000</v>
      </c>
      <c r="I56" s="15">
        <v>46170</v>
      </c>
      <c r="J56" s="16" t="str">
        <f t="shared" si="1"/>
        <v>May</v>
      </c>
    </row>
    <row r="57" spans="1:10">
      <c r="A57" s="17" t="s">
        <v>49</v>
      </c>
      <c r="B57" s="18" t="s">
        <v>68</v>
      </c>
      <c r="C57" s="19" t="s">
        <v>58</v>
      </c>
      <c r="D57" s="18" t="s">
        <v>45</v>
      </c>
      <c r="E57" s="20">
        <v>12</v>
      </c>
      <c r="F57" s="21">
        <v>1140000</v>
      </c>
      <c r="G57" s="22">
        <v>513000</v>
      </c>
      <c r="H57" s="22">
        <v>627000</v>
      </c>
      <c r="I57" s="23">
        <v>46143</v>
      </c>
      <c r="J57" s="24" t="str">
        <f t="shared" si="1"/>
        <v>May</v>
      </c>
    </row>
    <row r="58" spans="1:10">
      <c r="A58" s="9" t="s">
        <v>47</v>
      </c>
      <c r="B58" s="10" t="s">
        <v>62</v>
      </c>
      <c r="C58" s="11" t="s">
        <v>57</v>
      </c>
      <c r="D58" s="10" t="s">
        <v>43</v>
      </c>
      <c r="E58" s="12">
        <v>22</v>
      </c>
      <c r="F58" s="13">
        <v>2640000</v>
      </c>
      <c r="G58" s="14">
        <v>1320000</v>
      </c>
      <c r="H58" s="14">
        <v>1320000</v>
      </c>
      <c r="I58" s="15">
        <v>46144</v>
      </c>
      <c r="J58" s="16" t="str">
        <f t="shared" si="1"/>
        <v>May</v>
      </c>
    </row>
    <row r="59" spans="1:10">
      <c r="A59" s="17" t="s">
        <v>47</v>
      </c>
      <c r="B59" s="18" t="s">
        <v>63</v>
      </c>
      <c r="C59" s="19" t="s">
        <v>59</v>
      </c>
      <c r="D59" s="18" t="s">
        <v>41</v>
      </c>
      <c r="E59" s="20">
        <v>14</v>
      </c>
      <c r="F59" s="21">
        <v>1050000</v>
      </c>
      <c r="G59" s="22">
        <v>420000</v>
      </c>
      <c r="H59" s="22">
        <v>630000</v>
      </c>
      <c r="I59" s="23">
        <v>46145</v>
      </c>
      <c r="J59" s="24" t="str">
        <f t="shared" si="1"/>
        <v>May</v>
      </c>
    </row>
    <row r="60" spans="1:10">
      <c r="A60" s="9" t="s">
        <v>48</v>
      </c>
      <c r="B60" s="10" t="s">
        <v>64</v>
      </c>
      <c r="C60" s="11" t="s">
        <v>58</v>
      </c>
      <c r="D60" s="10" t="s">
        <v>44</v>
      </c>
      <c r="E60" s="12">
        <v>9</v>
      </c>
      <c r="F60" s="13">
        <v>450000</v>
      </c>
      <c r="G60" s="14">
        <v>157500</v>
      </c>
      <c r="H60" s="14">
        <v>292500</v>
      </c>
      <c r="I60" s="15">
        <v>46146</v>
      </c>
      <c r="J60" s="16" t="str">
        <f t="shared" si="1"/>
        <v>May</v>
      </c>
    </row>
    <row r="61" spans="1:10">
      <c r="A61" s="25" t="s">
        <v>48</v>
      </c>
      <c r="B61" s="26" t="s">
        <v>66</v>
      </c>
      <c r="C61" s="27" t="s">
        <v>57</v>
      </c>
      <c r="D61" s="26" t="s">
        <v>42</v>
      </c>
      <c r="E61" s="28">
        <v>12</v>
      </c>
      <c r="F61" s="29">
        <v>2160000</v>
      </c>
      <c r="G61" s="30">
        <v>1188000</v>
      </c>
      <c r="H61" s="30">
        <v>972000</v>
      </c>
      <c r="I61" s="31">
        <v>46147</v>
      </c>
      <c r="J61" s="24" t="str">
        <f t="shared" si="1"/>
        <v>May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tabSelected="1" zoomScale="50" zoomScaleNormal="50" workbookViewId="0">
      <selection activeCell="C10" sqref="C10"/>
    </sheetView>
  </sheetViews>
  <sheetFormatPr defaultColWidth="9.14285714285714" defaultRowHeight="15"/>
  <sheetData>
    <row r="1" s="1" customFormat="1" ht="67" customHeight="1" spans="1:1">
      <c r="A1" s="2" t="s">
        <v>83</v>
      </c>
    </row>
  </sheetData>
  <mergeCells count="1">
    <mergeCell ref="A1:XFD1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Project_Assignment_Brief</vt:lpstr>
      <vt:lpstr>Pivotted Data</vt:lpstr>
      <vt:lpstr>Procurement_Data</vt:lpstr>
      <vt:lpstr>Interactive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Chinedu munachimso</cp:lastModifiedBy>
  <dcterms:created xsi:type="dcterms:W3CDTF">2026-06-11T21:25:00Z</dcterms:created>
  <dcterms:modified xsi:type="dcterms:W3CDTF">2026-06-12T19:48:41Z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19F547BC28F14A4C8BD213358056C375_13</vt:lpwstr>
  </property>
</Properties>
</file>